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45F3983-6AEB-49D6-98A9-00E584B0854D}" xr6:coauthVersionLast="47" xr6:coauthVersionMax="47" xr10:uidLastSave="{00000000-0000-0000-0000-000000000000}"/>
  <bookViews>
    <workbookView xWindow="-110" yWindow="-110" windowWidth="19420" windowHeight="10300" xr2:uid="{3A0D55A0-3C55-4A1C-9CA6-9A595A09B258}"/>
  </bookViews>
  <sheets>
    <sheet name="DATA OLAHAN" sheetId="1" r:id="rId1"/>
  </sheets>
  <externalReferences>
    <externalReference r:id="rId2"/>
    <externalReference r:id="rId3"/>
  </externalReferences>
  <definedNames>
    <definedName name="_xlnm._FilterDatabase" localSheetId="0" hidden="1">'DATA OLAHAN'!$A$1:$U$1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46" i="1" l="1"/>
  <c r="V346" i="1"/>
  <c r="U346" i="1"/>
  <c r="T346" i="1"/>
  <c r="K346" i="1"/>
  <c r="W345" i="1"/>
  <c r="V345" i="1"/>
  <c r="U345" i="1"/>
  <c r="T345" i="1"/>
  <c r="K345" i="1"/>
  <c r="W344" i="1"/>
  <c r="V344" i="1"/>
  <c r="U344" i="1"/>
  <c r="T344" i="1"/>
  <c r="K344" i="1"/>
  <c r="W343" i="1"/>
  <c r="V343" i="1"/>
  <c r="U343" i="1"/>
  <c r="T343" i="1"/>
  <c r="K343" i="1"/>
  <c r="W342" i="1"/>
  <c r="V342" i="1"/>
  <c r="U342" i="1"/>
  <c r="T342" i="1"/>
  <c r="K342" i="1"/>
  <c r="W341" i="1"/>
  <c r="V341" i="1"/>
  <c r="U341" i="1"/>
  <c r="T341" i="1"/>
  <c r="K341" i="1"/>
  <c r="W340" i="1"/>
  <c r="V340" i="1"/>
  <c r="U340" i="1"/>
  <c r="T340" i="1"/>
  <c r="K340" i="1"/>
  <c r="W339" i="1"/>
  <c r="V339" i="1"/>
  <c r="U339" i="1"/>
  <c r="T339" i="1"/>
  <c r="K339" i="1"/>
  <c r="W338" i="1"/>
  <c r="V338" i="1"/>
  <c r="U338" i="1"/>
  <c r="T338" i="1"/>
  <c r="K338" i="1"/>
  <c r="W337" i="1"/>
  <c r="V337" i="1"/>
  <c r="U337" i="1"/>
  <c r="T337" i="1"/>
  <c r="K337" i="1"/>
  <c r="W336" i="1"/>
  <c r="V336" i="1"/>
  <c r="U336" i="1"/>
  <c r="T336" i="1"/>
  <c r="K336" i="1"/>
  <c r="W335" i="1"/>
  <c r="V335" i="1"/>
  <c r="U335" i="1"/>
  <c r="T335" i="1"/>
  <c r="K335" i="1"/>
  <c r="W334" i="1"/>
  <c r="V334" i="1"/>
  <c r="U334" i="1"/>
  <c r="T334" i="1"/>
  <c r="K334" i="1"/>
  <c r="W333" i="1"/>
  <c r="V333" i="1"/>
  <c r="U333" i="1"/>
  <c r="T333" i="1"/>
  <c r="K333" i="1"/>
  <c r="W332" i="1"/>
  <c r="V332" i="1"/>
  <c r="U332" i="1"/>
  <c r="T332" i="1"/>
  <c r="K332" i="1"/>
  <c r="W331" i="1"/>
  <c r="V331" i="1"/>
  <c r="U331" i="1"/>
  <c r="T331" i="1"/>
  <c r="K331" i="1"/>
  <c r="W330" i="1"/>
  <c r="V330" i="1"/>
  <c r="U330" i="1"/>
  <c r="T330" i="1"/>
  <c r="K330" i="1"/>
  <c r="W329" i="1"/>
  <c r="V329" i="1"/>
  <c r="U329" i="1"/>
  <c r="T329" i="1"/>
  <c r="K329" i="1"/>
  <c r="W328" i="1"/>
  <c r="V328" i="1"/>
  <c r="U328" i="1"/>
  <c r="T328" i="1"/>
  <c r="K328" i="1"/>
  <c r="W327" i="1"/>
  <c r="V327" i="1"/>
  <c r="U327" i="1"/>
  <c r="T327" i="1"/>
  <c r="K327" i="1"/>
  <c r="W326" i="1"/>
  <c r="V326" i="1"/>
  <c r="U326" i="1"/>
  <c r="T326" i="1"/>
  <c r="K326" i="1"/>
  <c r="W325" i="1"/>
  <c r="V325" i="1"/>
  <c r="U325" i="1"/>
  <c r="T325" i="1"/>
  <c r="K325" i="1"/>
  <c r="W324" i="1"/>
  <c r="V324" i="1"/>
  <c r="U324" i="1"/>
  <c r="T324" i="1"/>
  <c r="K324" i="1"/>
  <c r="W323" i="1"/>
  <c r="V323" i="1"/>
  <c r="U323" i="1"/>
  <c r="T323" i="1"/>
  <c r="K323" i="1"/>
  <c r="W322" i="1"/>
  <c r="V322" i="1"/>
  <c r="U322" i="1"/>
  <c r="T322" i="1"/>
  <c r="K322" i="1"/>
  <c r="W321" i="1"/>
  <c r="V321" i="1"/>
  <c r="U321" i="1"/>
  <c r="T321" i="1"/>
  <c r="K321" i="1"/>
  <c r="W320" i="1"/>
  <c r="V320" i="1"/>
  <c r="U320" i="1"/>
  <c r="T320" i="1"/>
  <c r="K320" i="1"/>
  <c r="W319" i="1"/>
  <c r="V319" i="1"/>
  <c r="U319" i="1"/>
  <c r="T319" i="1"/>
  <c r="K319" i="1"/>
  <c r="W318" i="1"/>
  <c r="V318" i="1"/>
  <c r="U318" i="1"/>
  <c r="T318" i="1"/>
  <c r="K318" i="1"/>
  <c r="W317" i="1"/>
  <c r="V317" i="1"/>
  <c r="U317" i="1"/>
  <c r="T317" i="1"/>
  <c r="K317" i="1"/>
  <c r="B317" i="1"/>
  <c r="W316" i="1"/>
  <c r="V316" i="1"/>
  <c r="U316" i="1"/>
  <c r="T316" i="1"/>
  <c r="K316" i="1"/>
  <c r="W315" i="1"/>
  <c r="V315" i="1"/>
  <c r="U315" i="1"/>
  <c r="T315" i="1"/>
  <c r="K315" i="1"/>
  <c r="W314" i="1"/>
  <c r="V314" i="1"/>
  <c r="U314" i="1"/>
  <c r="T314" i="1"/>
  <c r="K314" i="1"/>
  <c r="W313" i="1"/>
  <c r="V313" i="1"/>
  <c r="U313" i="1"/>
  <c r="T313" i="1"/>
  <c r="K313" i="1"/>
  <c r="W312" i="1"/>
  <c r="V312" i="1"/>
  <c r="U312" i="1"/>
  <c r="T312" i="1"/>
  <c r="K312" i="1"/>
  <c r="W311" i="1"/>
  <c r="V311" i="1"/>
  <c r="U311" i="1"/>
  <c r="T311" i="1"/>
  <c r="K311" i="1"/>
  <c r="W310" i="1"/>
  <c r="V310" i="1"/>
  <c r="U310" i="1"/>
  <c r="T310" i="1"/>
  <c r="K310" i="1"/>
  <c r="W309" i="1"/>
  <c r="V309" i="1"/>
  <c r="U309" i="1"/>
  <c r="T309" i="1"/>
  <c r="K309" i="1"/>
  <c r="W308" i="1"/>
  <c r="V308" i="1"/>
  <c r="U308" i="1"/>
  <c r="T308" i="1"/>
  <c r="K308" i="1"/>
  <c r="W307" i="1"/>
  <c r="V307" i="1"/>
  <c r="U307" i="1"/>
  <c r="T307" i="1"/>
  <c r="K307" i="1"/>
  <c r="W306" i="1"/>
  <c r="V306" i="1"/>
  <c r="U306" i="1"/>
  <c r="T306" i="1"/>
  <c r="K306" i="1"/>
  <c r="W305" i="1"/>
  <c r="V305" i="1"/>
  <c r="U305" i="1"/>
  <c r="T305" i="1"/>
  <c r="K305" i="1"/>
  <c r="W304" i="1"/>
  <c r="V304" i="1"/>
  <c r="U304" i="1"/>
  <c r="T304" i="1"/>
  <c r="K304" i="1"/>
  <c r="W303" i="1"/>
  <c r="V303" i="1"/>
  <c r="U303" i="1"/>
  <c r="T303" i="1"/>
  <c r="K303" i="1"/>
  <c r="W302" i="1"/>
  <c r="V302" i="1"/>
  <c r="U302" i="1"/>
  <c r="T302" i="1"/>
  <c r="K302" i="1"/>
  <c r="W301" i="1"/>
  <c r="V301" i="1"/>
  <c r="U301" i="1"/>
  <c r="T301" i="1"/>
  <c r="K301" i="1"/>
  <c r="W300" i="1"/>
  <c r="V300" i="1"/>
  <c r="U300" i="1"/>
  <c r="T300" i="1"/>
  <c r="K300" i="1"/>
  <c r="W299" i="1"/>
  <c r="V299" i="1"/>
  <c r="U299" i="1"/>
  <c r="T299" i="1"/>
  <c r="K299" i="1"/>
  <c r="W298" i="1"/>
  <c r="V298" i="1"/>
  <c r="U298" i="1"/>
  <c r="T298" i="1"/>
  <c r="K298" i="1"/>
  <c r="W297" i="1"/>
  <c r="V297" i="1"/>
  <c r="U297" i="1"/>
  <c r="T297" i="1"/>
  <c r="K297" i="1"/>
  <c r="W296" i="1"/>
  <c r="V296" i="1"/>
  <c r="U296" i="1"/>
  <c r="T296" i="1"/>
  <c r="K296" i="1"/>
  <c r="W295" i="1"/>
  <c r="V295" i="1"/>
  <c r="U295" i="1"/>
  <c r="T295" i="1"/>
  <c r="K295" i="1"/>
  <c r="W294" i="1"/>
  <c r="V294" i="1"/>
  <c r="U294" i="1"/>
  <c r="T294" i="1"/>
  <c r="K294" i="1"/>
  <c r="W293" i="1"/>
  <c r="V293" i="1"/>
  <c r="U293" i="1"/>
  <c r="T293" i="1"/>
  <c r="K293" i="1"/>
  <c r="W292" i="1"/>
  <c r="V292" i="1"/>
  <c r="U292" i="1"/>
  <c r="T292" i="1"/>
  <c r="K292" i="1"/>
  <c r="W291" i="1"/>
  <c r="V291" i="1"/>
  <c r="U291" i="1"/>
  <c r="T291" i="1"/>
  <c r="K291" i="1"/>
  <c r="W290" i="1"/>
  <c r="V290" i="1"/>
  <c r="U290" i="1"/>
  <c r="T290" i="1"/>
  <c r="K290" i="1"/>
  <c r="W289" i="1"/>
  <c r="V289" i="1"/>
  <c r="U289" i="1"/>
  <c r="T289" i="1"/>
  <c r="K289" i="1"/>
  <c r="W288" i="1"/>
  <c r="V288" i="1"/>
  <c r="U288" i="1"/>
  <c r="T288" i="1"/>
  <c r="K288" i="1"/>
  <c r="W287" i="1"/>
  <c r="V287" i="1"/>
  <c r="U287" i="1"/>
  <c r="T287" i="1"/>
  <c r="K287" i="1"/>
  <c r="W286" i="1"/>
  <c r="V286" i="1"/>
  <c r="U286" i="1"/>
  <c r="T286" i="1"/>
  <c r="K286" i="1"/>
  <c r="W285" i="1"/>
  <c r="V285" i="1"/>
  <c r="U285" i="1"/>
  <c r="T285" i="1"/>
  <c r="K285" i="1"/>
  <c r="W284" i="1"/>
  <c r="V284" i="1"/>
  <c r="U284" i="1"/>
  <c r="T284" i="1"/>
  <c r="K284" i="1"/>
  <c r="W283" i="1"/>
  <c r="V283" i="1"/>
  <c r="U283" i="1"/>
  <c r="T283" i="1"/>
  <c r="K283" i="1"/>
  <c r="W282" i="1"/>
  <c r="V282" i="1"/>
  <c r="U282" i="1"/>
  <c r="T282" i="1"/>
  <c r="K282" i="1"/>
  <c r="W281" i="1"/>
  <c r="V281" i="1"/>
  <c r="U281" i="1"/>
  <c r="T281" i="1"/>
  <c r="K281" i="1"/>
  <c r="W280" i="1"/>
  <c r="V280" i="1"/>
  <c r="U280" i="1"/>
  <c r="T280" i="1"/>
  <c r="K280" i="1"/>
  <c r="W279" i="1"/>
  <c r="V279" i="1"/>
  <c r="U279" i="1"/>
  <c r="T279" i="1"/>
  <c r="K279" i="1"/>
  <c r="W278" i="1"/>
  <c r="V278" i="1"/>
  <c r="U278" i="1"/>
  <c r="T278" i="1"/>
  <c r="K278" i="1"/>
  <c r="W277" i="1"/>
  <c r="V277" i="1"/>
  <c r="U277" i="1"/>
  <c r="T277" i="1"/>
  <c r="K277" i="1"/>
  <c r="W276" i="1"/>
  <c r="V276" i="1"/>
  <c r="U276" i="1"/>
  <c r="T276" i="1"/>
  <c r="K276" i="1"/>
  <c r="W275" i="1"/>
  <c r="V275" i="1"/>
  <c r="U275" i="1"/>
  <c r="T275" i="1"/>
  <c r="K275" i="1"/>
  <c r="W274" i="1"/>
  <c r="V274" i="1"/>
  <c r="U274" i="1"/>
  <c r="T274" i="1"/>
  <c r="K274" i="1"/>
  <c r="W273" i="1"/>
  <c r="V273" i="1"/>
  <c r="U273" i="1"/>
  <c r="T273" i="1"/>
  <c r="K273" i="1"/>
  <c r="W272" i="1"/>
  <c r="V272" i="1"/>
  <c r="U272" i="1"/>
  <c r="T272" i="1"/>
  <c r="K272" i="1"/>
  <c r="W271" i="1"/>
  <c r="V271" i="1"/>
  <c r="U271" i="1"/>
  <c r="T271" i="1"/>
  <c r="K271" i="1"/>
  <c r="W270" i="1"/>
  <c r="V270" i="1"/>
  <c r="U270" i="1"/>
  <c r="T270" i="1"/>
  <c r="K270" i="1"/>
  <c r="W269" i="1"/>
  <c r="V269" i="1"/>
  <c r="U269" i="1"/>
  <c r="T269" i="1"/>
  <c r="K269" i="1"/>
  <c r="W268" i="1"/>
  <c r="V268" i="1"/>
  <c r="U268" i="1"/>
  <c r="T268" i="1"/>
  <c r="K268" i="1"/>
  <c r="W267" i="1"/>
  <c r="V267" i="1"/>
  <c r="U267" i="1"/>
  <c r="T267" i="1"/>
  <c r="K267" i="1"/>
  <c r="W266" i="1"/>
  <c r="V266" i="1"/>
  <c r="U266" i="1"/>
  <c r="T266" i="1"/>
  <c r="K266" i="1"/>
  <c r="W265" i="1"/>
  <c r="V265" i="1"/>
  <c r="U265" i="1"/>
  <c r="T265" i="1"/>
  <c r="K265" i="1"/>
  <c r="W264" i="1"/>
  <c r="V264" i="1"/>
  <c r="U264" i="1"/>
  <c r="T264" i="1"/>
  <c r="K264" i="1"/>
  <c r="W263" i="1"/>
  <c r="V263" i="1"/>
  <c r="U263" i="1"/>
  <c r="T263" i="1"/>
  <c r="K263" i="1"/>
  <c r="W262" i="1"/>
  <c r="V262" i="1"/>
  <c r="U262" i="1"/>
  <c r="T262" i="1"/>
  <c r="K262" i="1"/>
  <c r="W261" i="1"/>
  <c r="V261" i="1"/>
  <c r="U261" i="1"/>
  <c r="T261" i="1"/>
  <c r="K261" i="1"/>
  <c r="W260" i="1"/>
  <c r="V260" i="1"/>
  <c r="U260" i="1"/>
  <c r="T260" i="1"/>
  <c r="K260" i="1"/>
  <c r="W259" i="1"/>
  <c r="V259" i="1"/>
  <c r="U259" i="1"/>
  <c r="T259" i="1"/>
  <c r="K259" i="1"/>
  <c r="W258" i="1"/>
  <c r="V258" i="1"/>
  <c r="U258" i="1"/>
  <c r="T258" i="1"/>
  <c r="K258" i="1"/>
  <c r="W257" i="1"/>
  <c r="V257" i="1"/>
  <c r="U257" i="1"/>
  <c r="T257" i="1"/>
  <c r="K257" i="1"/>
  <c r="W256" i="1"/>
  <c r="V256" i="1"/>
  <c r="U256" i="1"/>
  <c r="T256" i="1"/>
  <c r="K256" i="1"/>
  <c r="W255" i="1"/>
  <c r="V255" i="1"/>
  <c r="U255" i="1"/>
  <c r="T255" i="1"/>
  <c r="K255" i="1"/>
  <c r="W254" i="1"/>
  <c r="V254" i="1"/>
  <c r="U254" i="1"/>
  <c r="T254" i="1"/>
  <c r="K254" i="1"/>
  <c r="W253" i="1"/>
  <c r="V253" i="1"/>
  <c r="U253" i="1"/>
  <c r="T253" i="1"/>
  <c r="K253" i="1"/>
  <c r="W252" i="1"/>
  <c r="V252" i="1"/>
  <c r="U252" i="1"/>
  <c r="T252" i="1"/>
  <c r="K252" i="1"/>
  <c r="W251" i="1"/>
  <c r="V251" i="1"/>
  <c r="U251" i="1"/>
  <c r="T251" i="1"/>
  <c r="K251" i="1"/>
  <c r="W250" i="1"/>
  <c r="V250" i="1"/>
  <c r="U250" i="1"/>
  <c r="T250" i="1"/>
  <c r="K250" i="1"/>
  <c r="W249" i="1"/>
  <c r="V249" i="1"/>
  <c r="U249" i="1"/>
  <c r="T249" i="1"/>
  <c r="K249" i="1"/>
  <c r="W248" i="1"/>
  <c r="V248" i="1"/>
  <c r="U248" i="1"/>
  <c r="T248" i="1"/>
  <c r="K248" i="1"/>
  <c r="W247" i="1"/>
  <c r="V247" i="1"/>
  <c r="U247" i="1"/>
  <c r="T247" i="1"/>
  <c r="K247" i="1"/>
  <c r="W246" i="1"/>
  <c r="V246" i="1"/>
  <c r="U246" i="1"/>
  <c r="T246" i="1"/>
  <c r="K246" i="1"/>
  <c r="W245" i="1"/>
  <c r="V245" i="1"/>
  <c r="U245" i="1"/>
  <c r="T245" i="1"/>
  <c r="K245" i="1"/>
  <c r="W244" i="1"/>
  <c r="V244" i="1"/>
  <c r="U244" i="1"/>
  <c r="T244" i="1"/>
  <c r="K244" i="1"/>
  <c r="W243" i="1"/>
  <c r="V243" i="1"/>
  <c r="U243" i="1"/>
  <c r="T243" i="1"/>
  <c r="K243" i="1"/>
  <c r="W242" i="1"/>
  <c r="V242" i="1"/>
  <c r="U242" i="1"/>
  <c r="T242" i="1"/>
  <c r="K242" i="1"/>
  <c r="W241" i="1"/>
  <c r="V241" i="1"/>
  <c r="U241" i="1"/>
  <c r="T241" i="1"/>
  <c r="K241" i="1"/>
  <c r="W240" i="1"/>
  <c r="V240" i="1"/>
  <c r="U240" i="1"/>
  <c r="T240" i="1"/>
  <c r="K240" i="1"/>
  <c r="W239" i="1"/>
  <c r="V239" i="1"/>
  <c r="U239" i="1"/>
  <c r="T239" i="1"/>
  <c r="K239" i="1"/>
  <c r="W238" i="1"/>
  <c r="V238" i="1"/>
  <c r="U238" i="1"/>
  <c r="T238" i="1"/>
  <c r="K238" i="1"/>
  <c r="W237" i="1"/>
  <c r="V237" i="1"/>
  <c r="U237" i="1"/>
  <c r="T237" i="1"/>
  <c r="K237" i="1"/>
  <c r="W236" i="1"/>
  <c r="V236" i="1"/>
  <c r="U236" i="1"/>
  <c r="T236" i="1"/>
  <c r="K236" i="1"/>
  <c r="W235" i="1"/>
  <c r="V235" i="1"/>
  <c r="U235" i="1"/>
  <c r="T235" i="1"/>
  <c r="K235" i="1"/>
  <c r="W234" i="1"/>
  <c r="V234" i="1"/>
  <c r="U234" i="1"/>
  <c r="T234" i="1"/>
  <c r="K234" i="1"/>
  <c r="W233" i="1"/>
  <c r="V233" i="1"/>
  <c r="U233" i="1"/>
  <c r="T233" i="1"/>
  <c r="K233" i="1"/>
  <c r="W232" i="1"/>
  <c r="V232" i="1"/>
  <c r="U232" i="1"/>
  <c r="T232" i="1"/>
  <c r="K232" i="1"/>
  <c r="W231" i="1"/>
  <c r="V231" i="1"/>
  <c r="U231" i="1"/>
  <c r="T231" i="1"/>
  <c r="K231" i="1"/>
  <c r="W230" i="1"/>
  <c r="V230" i="1"/>
  <c r="U230" i="1"/>
  <c r="T230" i="1"/>
  <c r="K230" i="1"/>
  <c r="W229" i="1"/>
  <c r="V229" i="1"/>
  <c r="U229" i="1"/>
  <c r="T229" i="1"/>
  <c r="K229" i="1"/>
  <c r="W228" i="1"/>
  <c r="V228" i="1"/>
  <c r="U228" i="1"/>
  <c r="T228" i="1"/>
  <c r="K228" i="1"/>
  <c r="W227" i="1"/>
  <c r="V227" i="1"/>
  <c r="U227" i="1"/>
  <c r="T227" i="1"/>
  <c r="K227" i="1"/>
  <c r="W226" i="1"/>
  <c r="V226" i="1"/>
  <c r="U226" i="1"/>
  <c r="T226" i="1"/>
  <c r="K226" i="1"/>
  <c r="W225" i="1"/>
  <c r="V225" i="1"/>
  <c r="U225" i="1"/>
  <c r="T225" i="1"/>
  <c r="K225" i="1"/>
  <c r="W224" i="1"/>
  <c r="V224" i="1"/>
  <c r="U224" i="1"/>
  <c r="T224" i="1"/>
  <c r="K224" i="1"/>
  <c r="W223" i="1"/>
  <c r="V223" i="1"/>
  <c r="U223" i="1"/>
  <c r="T223" i="1"/>
  <c r="K223" i="1"/>
  <c r="W222" i="1"/>
  <c r="V222" i="1"/>
  <c r="U222" i="1"/>
  <c r="T222" i="1"/>
  <c r="K222" i="1"/>
  <c r="W221" i="1"/>
  <c r="V221" i="1"/>
  <c r="U221" i="1"/>
  <c r="T221" i="1"/>
  <c r="K221" i="1"/>
  <c r="W220" i="1"/>
  <c r="V220" i="1"/>
  <c r="U220" i="1"/>
  <c r="T220" i="1"/>
  <c r="K220" i="1"/>
  <c r="W219" i="1"/>
  <c r="V219" i="1"/>
  <c r="U219" i="1"/>
  <c r="T219" i="1"/>
  <c r="K219" i="1"/>
  <c r="W218" i="1"/>
  <c r="V218" i="1"/>
  <c r="U218" i="1"/>
  <c r="T218" i="1"/>
  <c r="K218" i="1"/>
  <c r="W217" i="1"/>
  <c r="V217" i="1"/>
  <c r="U217" i="1"/>
  <c r="T217" i="1"/>
  <c r="K217" i="1"/>
  <c r="W216" i="1"/>
  <c r="V216" i="1"/>
  <c r="U216" i="1"/>
  <c r="T216" i="1"/>
  <c r="K216" i="1"/>
  <c r="W215" i="1"/>
  <c r="V215" i="1"/>
  <c r="U215" i="1"/>
  <c r="T215" i="1"/>
  <c r="K215" i="1"/>
  <c r="W214" i="1"/>
  <c r="V214" i="1"/>
  <c r="U214" i="1"/>
  <c r="T214" i="1"/>
  <c r="K214" i="1"/>
  <c r="W213" i="1"/>
  <c r="V213" i="1"/>
  <c r="U213" i="1"/>
  <c r="T213" i="1"/>
  <c r="K213" i="1"/>
  <c r="W212" i="1"/>
  <c r="V212" i="1"/>
  <c r="U212" i="1"/>
  <c r="T212" i="1"/>
  <c r="K212" i="1"/>
  <c r="W211" i="1"/>
  <c r="V211" i="1"/>
  <c r="U211" i="1"/>
  <c r="T211" i="1"/>
  <c r="K211" i="1"/>
  <c r="W210" i="1"/>
  <c r="V210" i="1"/>
  <c r="U210" i="1"/>
  <c r="T210" i="1"/>
  <c r="K210" i="1"/>
  <c r="W209" i="1"/>
  <c r="V209" i="1"/>
  <c r="U209" i="1"/>
  <c r="T209" i="1"/>
  <c r="K209" i="1"/>
  <c r="W208" i="1"/>
  <c r="V208" i="1"/>
  <c r="U208" i="1"/>
  <c r="T208" i="1"/>
  <c r="K208" i="1"/>
  <c r="W207" i="1"/>
  <c r="V207" i="1"/>
  <c r="U207" i="1"/>
  <c r="T207" i="1"/>
  <c r="K207" i="1"/>
  <c r="B207" i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W206" i="1"/>
  <c r="V206" i="1"/>
  <c r="U206" i="1"/>
  <c r="T206" i="1"/>
  <c r="K206" i="1"/>
  <c r="W205" i="1"/>
  <c r="V205" i="1"/>
  <c r="U205" i="1"/>
  <c r="T205" i="1"/>
  <c r="W204" i="1"/>
  <c r="V204" i="1"/>
  <c r="U204" i="1"/>
  <c r="T204" i="1"/>
  <c r="W203" i="1"/>
  <c r="V203" i="1"/>
  <c r="U203" i="1"/>
  <c r="T203" i="1"/>
  <c r="W202" i="1"/>
  <c r="V202" i="1"/>
  <c r="U202" i="1"/>
  <c r="T202" i="1"/>
  <c r="W201" i="1"/>
  <c r="V201" i="1"/>
  <c r="U201" i="1"/>
  <c r="T201" i="1"/>
  <c r="W200" i="1"/>
  <c r="V200" i="1"/>
  <c r="U200" i="1"/>
  <c r="T200" i="1"/>
  <c r="W199" i="1"/>
  <c r="V199" i="1"/>
  <c r="U199" i="1"/>
  <c r="T199" i="1"/>
  <c r="W198" i="1"/>
  <c r="V198" i="1"/>
  <c r="U198" i="1"/>
  <c r="T198" i="1"/>
  <c r="W197" i="1"/>
  <c r="V197" i="1"/>
  <c r="U197" i="1"/>
  <c r="T197" i="1"/>
  <c r="W196" i="1"/>
  <c r="V196" i="1"/>
  <c r="U196" i="1"/>
  <c r="T196" i="1"/>
  <c r="W195" i="1"/>
  <c r="V195" i="1"/>
  <c r="U195" i="1"/>
  <c r="T195" i="1"/>
  <c r="W194" i="1"/>
  <c r="V194" i="1"/>
  <c r="U194" i="1"/>
  <c r="T194" i="1"/>
  <c r="W193" i="1"/>
  <c r="V193" i="1"/>
  <c r="U193" i="1"/>
  <c r="T193" i="1"/>
  <c r="W192" i="1"/>
  <c r="V192" i="1"/>
  <c r="U192" i="1"/>
  <c r="T192" i="1"/>
  <c r="W191" i="1"/>
  <c r="V191" i="1"/>
  <c r="U191" i="1"/>
  <c r="T191" i="1"/>
  <c r="W190" i="1"/>
  <c r="V190" i="1"/>
  <c r="U190" i="1"/>
  <c r="T190" i="1"/>
  <c r="W189" i="1"/>
  <c r="V189" i="1"/>
  <c r="U189" i="1"/>
  <c r="T189" i="1"/>
  <c r="W188" i="1"/>
  <c r="V188" i="1"/>
  <c r="U188" i="1"/>
  <c r="T188" i="1"/>
  <c r="W187" i="1"/>
  <c r="V187" i="1"/>
  <c r="U187" i="1"/>
  <c r="T187" i="1"/>
  <c r="W186" i="1"/>
  <c r="V186" i="1"/>
  <c r="U186" i="1"/>
  <c r="T186" i="1"/>
  <c r="W185" i="1"/>
  <c r="V185" i="1"/>
  <c r="U185" i="1"/>
  <c r="T185" i="1"/>
  <c r="W184" i="1"/>
  <c r="V184" i="1"/>
  <c r="U184" i="1"/>
  <c r="T184" i="1"/>
  <c r="W183" i="1"/>
  <c r="V183" i="1"/>
  <c r="U183" i="1"/>
  <c r="T183" i="1"/>
  <c r="W182" i="1"/>
  <c r="V182" i="1"/>
  <c r="U182" i="1"/>
  <c r="T182" i="1"/>
  <c r="W181" i="1"/>
  <c r="V181" i="1"/>
  <c r="U181" i="1"/>
  <c r="T181" i="1"/>
  <c r="W180" i="1"/>
  <c r="V180" i="1"/>
  <c r="U180" i="1"/>
  <c r="T180" i="1"/>
  <c r="W179" i="1"/>
  <c r="V179" i="1"/>
  <c r="U179" i="1"/>
  <c r="T179" i="1"/>
  <c r="W178" i="1"/>
  <c r="V178" i="1"/>
  <c r="U178" i="1"/>
  <c r="T178" i="1"/>
  <c r="W177" i="1"/>
  <c r="V177" i="1"/>
  <c r="U177" i="1"/>
  <c r="T177" i="1"/>
  <c r="W176" i="1"/>
  <c r="V176" i="1"/>
  <c r="U176" i="1"/>
  <c r="T176" i="1"/>
  <c r="W175" i="1"/>
  <c r="V175" i="1"/>
  <c r="U175" i="1"/>
  <c r="T175" i="1"/>
  <c r="W174" i="1"/>
  <c r="V174" i="1"/>
  <c r="U174" i="1"/>
  <c r="T174" i="1"/>
  <c r="W173" i="1"/>
  <c r="V173" i="1"/>
  <c r="U173" i="1"/>
  <c r="T173" i="1"/>
  <c r="W172" i="1"/>
  <c r="V172" i="1"/>
  <c r="U172" i="1"/>
  <c r="T172" i="1"/>
  <c r="W171" i="1"/>
  <c r="V171" i="1"/>
  <c r="U171" i="1"/>
  <c r="T171" i="1"/>
  <c r="W170" i="1"/>
  <c r="V170" i="1"/>
  <c r="U170" i="1"/>
  <c r="T170" i="1"/>
  <c r="W169" i="1"/>
  <c r="V169" i="1"/>
  <c r="U169" i="1"/>
  <c r="T169" i="1"/>
  <c r="W168" i="1"/>
  <c r="V168" i="1"/>
  <c r="U168" i="1"/>
  <c r="T168" i="1"/>
  <c r="W167" i="1"/>
  <c r="V167" i="1"/>
  <c r="U167" i="1"/>
  <c r="T167" i="1"/>
  <c r="W166" i="1"/>
  <c r="V166" i="1"/>
  <c r="U166" i="1"/>
  <c r="T166" i="1"/>
  <c r="W165" i="1"/>
  <c r="V165" i="1"/>
  <c r="U165" i="1"/>
  <c r="T165" i="1"/>
  <c r="W164" i="1"/>
  <c r="V164" i="1"/>
  <c r="U164" i="1"/>
  <c r="T164" i="1"/>
  <c r="W163" i="1"/>
  <c r="V163" i="1"/>
  <c r="U163" i="1"/>
  <c r="T163" i="1"/>
  <c r="W162" i="1"/>
  <c r="V162" i="1"/>
  <c r="U162" i="1"/>
  <c r="T162" i="1"/>
  <c r="W161" i="1"/>
  <c r="V161" i="1"/>
  <c r="U161" i="1"/>
  <c r="T161" i="1"/>
  <c r="W160" i="1"/>
  <c r="V160" i="1"/>
  <c r="U160" i="1"/>
  <c r="T160" i="1"/>
  <c r="W159" i="1"/>
  <c r="V159" i="1"/>
  <c r="U159" i="1"/>
  <c r="T159" i="1"/>
  <c r="W158" i="1"/>
  <c r="V158" i="1"/>
  <c r="U158" i="1"/>
  <c r="T158" i="1"/>
  <c r="W157" i="1"/>
  <c r="V157" i="1"/>
  <c r="U157" i="1"/>
  <c r="T157" i="1"/>
  <c r="W156" i="1"/>
  <c r="V156" i="1"/>
  <c r="U156" i="1"/>
  <c r="T156" i="1"/>
  <c r="W155" i="1"/>
  <c r="V155" i="1"/>
  <c r="U155" i="1"/>
  <c r="T155" i="1"/>
  <c r="W154" i="1"/>
  <c r="V154" i="1"/>
  <c r="U154" i="1"/>
  <c r="T154" i="1"/>
  <c r="W153" i="1"/>
  <c r="V153" i="1"/>
  <c r="U153" i="1"/>
  <c r="T153" i="1"/>
  <c r="W152" i="1"/>
  <c r="V152" i="1"/>
  <c r="U152" i="1"/>
  <c r="T152" i="1"/>
  <c r="W151" i="1"/>
  <c r="V151" i="1"/>
  <c r="U151" i="1"/>
  <c r="T151" i="1"/>
  <c r="W150" i="1"/>
  <c r="V150" i="1"/>
  <c r="U150" i="1"/>
  <c r="T150" i="1"/>
  <c r="W149" i="1"/>
  <c r="V149" i="1"/>
  <c r="U149" i="1"/>
  <c r="T149" i="1"/>
  <c r="W148" i="1"/>
  <c r="V148" i="1"/>
  <c r="U148" i="1"/>
  <c r="T148" i="1"/>
  <c r="W147" i="1"/>
  <c r="V147" i="1"/>
  <c r="U147" i="1"/>
  <c r="T147" i="1"/>
  <c r="W146" i="1"/>
  <c r="V146" i="1"/>
  <c r="U146" i="1"/>
  <c r="T146" i="1"/>
  <c r="W145" i="1"/>
  <c r="V145" i="1"/>
  <c r="U145" i="1"/>
  <c r="T145" i="1"/>
  <c r="W144" i="1"/>
  <c r="V144" i="1"/>
  <c r="U144" i="1"/>
  <c r="T144" i="1"/>
  <c r="W143" i="1"/>
  <c r="V143" i="1"/>
  <c r="U143" i="1"/>
  <c r="T143" i="1"/>
  <c r="W142" i="1"/>
  <c r="V142" i="1"/>
  <c r="U142" i="1"/>
  <c r="T142" i="1"/>
  <c r="W141" i="1"/>
  <c r="V141" i="1"/>
  <c r="U141" i="1"/>
  <c r="T141" i="1"/>
  <c r="W140" i="1"/>
  <c r="V140" i="1"/>
  <c r="U140" i="1"/>
  <c r="T140" i="1"/>
  <c r="W139" i="1"/>
  <c r="V139" i="1"/>
  <c r="U139" i="1"/>
  <c r="T139" i="1"/>
  <c r="W138" i="1"/>
  <c r="V138" i="1"/>
  <c r="U138" i="1"/>
  <c r="T138" i="1"/>
  <c r="W137" i="1"/>
  <c r="V137" i="1"/>
  <c r="U137" i="1"/>
  <c r="T137" i="1"/>
  <c r="W136" i="1"/>
  <c r="V136" i="1"/>
  <c r="U136" i="1"/>
  <c r="T136" i="1"/>
  <c r="W135" i="1"/>
  <c r="V135" i="1"/>
  <c r="U135" i="1"/>
  <c r="T135" i="1"/>
  <c r="W134" i="1"/>
  <c r="V134" i="1"/>
  <c r="U134" i="1"/>
  <c r="T134" i="1"/>
  <c r="W133" i="1"/>
  <c r="V133" i="1"/>
  <c r="U133" i="1"/>
  <c r="T133" i="1"/>
  <c r="W132" i="1"/>
  <c r="V132" i="1"/>
  <c r="U132" i="1"/>
  <c r="T132" i="1"/>
  <c r="W131" i="1"/>
  <c r="V131" i="1"/>
  <c r="U131" i="1"/>
  <c r="T131" i="1"/>
  <c r="W130" i="1"/>
  <c r="V130" i="1"/>
  <c r="U130" i="1"/>
  <c r="T130" i="1"/>
  <c r="W129" i="1"/>
  <c r="V129" i="1"/>
  <c r="U129" i="1"/>
  <c r="T129" i="1"/>
  <c r="W128" i="1"/>
  <c r="V128" i="1"/>
  <c r="U128" i="1"/>
  <c r="T128" i="1"/>
  <c r="W127" i="1"/>
  <c r="V127" i="1"/>
  <c r="U127" i="1"/>
  <c r="T127" i="1"/>
  <c r="W126" i="1"/>
  <c r="V126" i="1"/>
  <c r="U126" i="1"/>
  <c r="T126" i="1"/>
  <c r="W125" i="1"/>
  <c r="V125" i="1"/>
  <c r="U125" i="1"/>
  <c r="T125" i="1"/>
  <c r="W124" i="1"/>
  <c r="V124" i="1"/>
  <c r="U124" i="1"/>
  <c r="T124" i="1"/>
  <c r="W123" i="1"/>
  <c r="V123" i="1"/>
  <c r="U123" i="1"/>
  <c r="T123" i="1"/>
  <c r="W122" i="1"/>
  <c r="V122" i="1"/>
  <c r="U122" i="1"/>
  <c r="T122" i="1"/>
  <c r="W121" i="1"/>
  <c r="V121" i="1"/>
  <c r="U121" i="1"/>
  <c r="T121" i="1"/>
  <c r="W120" i="1"/>
  <c r="V120" i="1"/>
  <c r="U120" i="1"/>
  <c r="T120" i="1"/>
  <c r="W119" i="1"/>
  <c r="V119" i="1"/>
  <c r="U119" i="1"/>
  <c r="T119" i="1"/>
  <c r="W118" i="1"/>
  <c r="V118" i="1"/>
  <c r="U118" i="1"/>
  <c r="T118" i="1"/>
  <c r="A118" i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W117" i="1"/>
  <c r="V117" i="1"/>
  <c r="U117" i="1"/>
  <c r="T117" i="1"/>
  <c r="W116" i="1"/>
  <c r="V116" i="1"/>
  <c r="U116" i="1"/>
  <c r="T116" i="1"/>
  <c r="W115" i="1"/>
  <c r="V115" i="1"/>
  <c r="U115" i="1"/>
  <c r="T115" i="1"/>
  <c r="W114" i="1"/>
  <c r="V114" i="1"/>
  <c r="U114" i="1"/>
  <c r="T114" i="1"/>
  <c r="W113" i="1"/>
  <c r="V113" i="1"/>
  <c r="U113" i="1"/>
  <c r="T113" i="1"/>
  <c r="W112" i="1"/>
  <c r="V112" i="1"/>
  <c r="U112" i="1"/>
  <c r="T112" i="1"/>
  <c r="W111" i="1"/>
  <c r="V111" i="1"/>
  <c r="U111" i="1"/>
  <c r="T111" i="1"/>
  <c r="W110" i="1"/>
  <c r="V110" i="1"/>
  <c r="U110" i="1"/>
  <c r="T110" i="1"/>
  <c r="W109" i="1"/>
  <c r="V109" i="1"/>
  <c r="U109" i="1"/>
  <c r="T109" i="1"/>
  <c r="W108" i="1"/>
  <c r="V108" i="1"/>
  <c r="U108" i="1"/>
  <c r="T108" i="1"/>
  <c r="W107" i="1"/>
  <c r="V107" i="1"/>
  <c r="U107" i="1"/>
  <c r="T107" i="1"/>
  <c r="W106" i="1"/>
  <c r="V106" i="1"/>
  <c r="U106" i="1"/>
  <c r="T106" i="1"/>
  <c r="W105" i="1"/>
  <c r="V105" i="1"/>
  <c r="U105" i="1"/>
  <c r="T105" i="1"/>
  <c r="W104" i="1"/>
  <c r="V104" i="1"/>
  <c r="U104" i="1"/>
  <c r="T104" i="1"/>
  <c r="W103" i="1"/>
  <c r="V103" i="1"/>
  <c r="U103" i="1"/>
  <c r="T103" i="1"/>
  <c r="W102" i="1"/>
  <c r="V102" i="1"/>
  <c r="U102" i="1"/>
  <c r="T102" i="1"/>
  <c r="W101" i="1"/>
  <c r="V101" i="1"/>
  <c r="U101" i="1"/>
  <c r="T101" i="1"/>
  <c r="W100" i="1"/>
  <c r="V100" i="1"/>
  <c r="U100" i="1"/>
  <c r="T100" i="1"/>
  <c r="W99" i="1"/>
  <c r="V99" i="1"/>
  <c r="U99" i="1"/>
  <c r="T99" i="1"/>
  <c r="W98" i="1"/>
  <c r="V98" i="1"/>
  <c r="U98" i="1"/>
  <c r="T98" i="1"/>
  <c r="W97" i="1"/>
  <c r="V97" i="1"/>
  <c r="U97" i="1"/>
  <c r="T97" i="1"/>
  <c r="W96" i="1"/>
  <c r="V96" i="1"/>
  <c r="U96" i="1"/>
  <c r="T96" i="1"/>
  <c r="W95" i="1"/>
  <c r="V95" i="1"/>
  <c r="U95" i="1"/>
  <c r="T95" i="1"/>
  <c r="W94" i="1"/>
  <c r="V94" i="1"/>
  <c r="U94" i="1"/>
  <c r="T94" i="1"/>
  <c r="W93" i="1"/>
  <c r="V93" i="1"/>
  <c r="U93" i="1"/>
  <c r="T93" i="1"/>
  <c r="W92" i="1"/>
  <c r="V92" i="1"/>
  <c r="U92" i="1"/>
  <c r="T92" i="1"/>
  <c r="W91" i="1"/>
  <c r="V91" i="1"/>
  <c r="U91" i="1"/>
  <c r="T91" i="1"/>
  <c r="W90" i="1"/>
  <c r="V90" i="1"/>
  <c r="U90" i="1"/>
  <c r="T90" i="1"/>
  <c r="W89" i="1"/>
  <c r="V89" i="1"/>
  <c r="U89" i="1"/>
  <c r="T89" i="1"/>
  <c r="W88" i="1"/>
  <c r="V88" i="1"/>
  <c r="U88" i="1"/>
  <c r="T88" i="1"/>
  <c r="W87" i="1"/>
  <c r="V87" i="1"/>
  <c r="U87" i="1"/>
  <c r="T87" i="1"/>
  <c r="W86" i="1"/>
  <c r="V86" i="1"/>
  <c r="U86" i="1"/>
  <c r="T86" i="1"/>
  <c r="W85" i="1"/>
  <c r="V85" i="1"/>
  <c r="U85" i="1"/>
  <c r="T85" i="1"/>
  <c r="W84" i="1"/>
  <c r="V84" i="1"/>
  <c r="U84" i="1"/>
  <c r="T84" i="1"/>
  <c r="W83" i="1"/>
  <c r="V83" i="1"/>
  <c r="U83" i="1"/>
  <c r="T83" i="1"/>
  <c r="W82" i="1"/>
  <c r="V82" i="1"/>
  <c r="U82" i="1"/>
  <c r="T82" i="1"/>
  <c r="W81" i="1"/>
  <c r="V81" i="1"/>
  <c r="U81" i="1"/>
  <c r="T81" i="1"/>
  <c r="W80" i="1"/>
  <c r="V80" i="1"/>
  <c r="U80" i="1"/>
  <c r="T80" i="1"/>
  <c r="W79" i="1"/>
  <c r="V79" i="1"/>
  <c r="U79" i="1"/>
  <c r="T79" i="1"/>
  <c r="W78" i="1"/>
  <c r="V78" i="1"/>
  <c r="U78" i="1"/>
  <c r="T78" i="1"/>
  <c r="W77" i="1"/>
  <c r="V77" i="1"/>
  <c r="U77" i="1"/>
  <c r="T77" i="1"/>
  <c r="W76" i="1"/>
  <c r="V76" i="1"/>
  <c r="U76" i="1"/>
  <c r="T76" i="1"/>
  <c r="W75" i="1"/>
  <c r="V75" i="1"/>
  <c r="U75" i="1"/>
  <c r="T75" i="1"/>
  <c r="W74" i="1"/>
  <c r="V74" i="1"/>
  <c r="U74" i="1"/>
  <c r="T74" i="1"/>
  <c r="W73" i="1"/>
  <c r="V73" i="1"/>
  <c r="U73" i="1"/>
  <c r="T73" i="1"/>
  <c r="W72" i="1"/>
  <c r="V72" i="1"/>
  <c r="U72" i="1"/>
  <c r="T72" i="1"/>
  <c r="W71" i="1"/>
  <c r="V71" i="1"/>
  <c r="U71" i="1"/>
  <c r="T71" i="1"/>
  <c r="W70" i="1"/>
  <c r="V70" i="1"/>
  <c r="U70" i="1"/>
  <c r="T70" i="1"/>
  <c r="W69" i="1"/>
  <c r="V69" i="1"/>
  <c r="U69" i="1"/>
  <c r="T69" i="1"/>
  <c r="W68" i="1"/>
  <c r="V68" i="1"/>
  <c r="U68" i="1"/>
  <c r="T68" i="1"/>
  <c r="W67" i="1"/>
  <c r="V67" i="1"/>
  <c r="U67" i="1"/>
  <c r="T67" i="1"/>
  <c r="W66" i="1"/>
  <c r="V66" i="1"/>
  <c r="U66" i="1"/>
  <c r="T66" i="1"/>
  <c r="W65" i="1"/>
  <c r="V65" i="1"/>
  <c r="U65" i="1"/>
  <c r="T65" i="1"/>
  <c r="W64" i="1"/>
  <c r="V64" i="1"/>
  <c r="U64" i="1"/>
  <c r="T64" i="1"/>
  <c r="W63" i="1"/>
  <c r="V63" i="1"/>
  <c r="U63" i="1"/>
  <c r="T63" i="1"/>
  <c r="W62" i="1"/>
  <c r="V62" i="1"/>
  <c r="U62" i="1"/>
  <c r="T62" i="1"/>
  <c r="W61" i="1"/>
  <c r="V61" i="1"/>
  <c r="U61" i="1"/>
  <c r="T61" i="1"/>
  <c r="W60" i="1"/>
  <c r="V60" i="1"/>
  <c r="U60" i="1"/>
  <c r="T60" i="1"/>
  <c r="W59" i="1"/>
  <c r="V59" i="1"/>
  <c r="U59" i="1"/>
  <c r="T59" i="1"/>
  <c r="W58" i="1"/>
  <c r="V58" i="1"/>
  <c r="U58" i="1"/>
  <c r="T58" i="1"/>
  <c r="W57" i="1"/>
  <c r="V57" i="1"/>
  <c r="U57" i="1"/>
  <c r="T57" i="1"/>
  <c r="W56" i="1"/>
  <c r="V56" i="1"/>
  <c r="U56" i="1"/>
  <c r="T56" i="1"/>
  <c r="W55" i="1"/>
  <c r="V55" i="1"/>
  <c r="U55" i="1"/>
  <c r="T55" i="1"/>
  <c r="W54" i="1"/>
  <c r="V54" i="1"/>
  <c r="U54" i="1"/>
  <c r="T54" i="1"/>
  <c r="W53" i="1"/>
  <c r="V53" i="1"/>
  <c r="U53" i="1"/>
  <c r="T53" i="1"/>
  <c r="W52" i="1"/>
  <c r="V52" i="1"/>
  <c r="U52" i="1"/>
  <c r="T52" i="1"/>
  <c r="W51" i="1"/>
  <c r="V51" i="1"/>
  <c r="U51" i="1"/>
  <c r="T51" i="1"/>
  <c r="W50" i="1"/>
  <c r="V50" i="1"/>
  <c r="U50" i="1"/>
  <c r="T50" i="1"/>
  <c r="W49" i="1"/>
  <c r="V49" i="1"/>
  <c r="U49" i="1"/>
  <c r="T49" i="1"/>
  <c r="W48" i="1"/>
  <c r="V48" i="1"/>
  <c r="U48" i="1"/>
  <c r="T48" i="1"/>
  <c r="W47" i="1"/>
  <c r="V47" i="1"/>
  <c r="U47" i="1"/>
  <c r="T47" i="1"/>
  <c r="W46" i="1"/>
  <c r="V46" i="1"/>
  <c r="U46" i="1"/>
  <c r="T46" i="1"/>
  <c r="W45" i="1"/>
  <c r="V45" i="1"/>
  <c r="U45" i="1"/>
  <c r="T45" i="1"/>
  <c r="W44" i="1"/>
  <c r="V44" i="1"/>
  <c r="U44" i="1"/>
  <c r="T44" i="1"/>
  <c r="W43" i="1"/>
  <c r="V43" i="1"/>
  <c r="U43" i="1"/>
  <c r="T43" i="1"/>
  <c r="W42" i="1"/>
  <c r="V42" i="1"/>
  <c r="U42" i="1"/>
  <c r="T42" i="1"/>
  <c r="W41" i="1"/>
  <c r="V41" i="1"/>
  <c r="U41" i="1"/>
  <c r="T41" i="1"/>
  <c r="W40" i="1"/>
  <c r="V40" i="1"/>
  <c r="U40" i="1"/>
  <c r="T40" i="1"/>
  <c r="W39" i="1"/>
  <c r="V39" i="1"/>
  <c r="U39" i="1"/>
  <c r="T39" i="1"/>
  <c r="W38" i="1"/>
  <c r="V38" i="1"/>
  <c r="U38" i="1"/>
  <c r="T38" i="1"/>
  <c r="W37" i="1"/>
  <c r="V37" i="1"/>
  <c r="U37" i="1"/>
  <c r="T37" i="1"/>
  <c r="W36" i="1"/>
  <c r="V36" i="1"/>
  <c r="U36" i="1"/>
  <c r="T36" i="1"/>
  <c r="W35" i="1"/>
  <c r="V35" i="1"/>
  <c r="U35" i="1"/>
  <c r="T35" i="1"/>
  <c r="W34" i="1"/>
  <c r="V34" i="1"/>
  <c r="U34" i="1"/>
  <c r="T34" i="1"/>
  <c r="W33" i="1"/>
  <c r="V33" i="1"/>
  <c r="U33" i="1"/>
  <c r="T33" i="1"/>
  <c r="W32" i="1"/>
  <c r="V32" i="1"/>
  <c r="U32" i="1"/>
  <c r="T32" i="1"/>
  <c r="W31" i="1"/>
  <c r="V31" i="1"/>
  <c r="U31" i="1"/>
  <c r="T31" i="1"/>
  <c r="W30" i="1"/>
  <c r="V30" i="1"/>
  <c r="U30" i="1"/>
  <c r="T30" i="1"/>
  <c r="W29" i="1"/>
  <c r="V29" i="1"/>
  <c r="U29" i="1"/>
  <c r="T29" i="1"/>
  <c r="W28" i="1"/>
  <c r="V28" i="1"/>
  <c r="U28" i="1"/>
  <c r="T28" i="1"/>
  <c r="W27" i="1"/>
  <c r="V27" i="1"/>
  <c r="U27" i="1"/>
  <c r="T27" i="1"/>
  <c r="W26" i="1"/>
  <c r="V26" i="1"/>
  <c r="U26" i="1"/>
  <c r="T26" i="1"/>
  <c r="W25" i="1"/>
  <c r="V25" i="1"/>
  <c r="U25" i="1"/>
  <c r="T25" i="1"/>
  <c r="W24" i="1"/>
  <c r="V24" i="1"/>
  <c r="U24" i="1"/>
  <c r="T24" i="1"/>
  <c r="W23" i="1"/>
  <c r="V23" i="1"/>
  <c r="U23" i="1"/>
  <c r="T23" i="1"/>
  <c r="W22" i="1"/>
  <c r="V22" i="1"/>
  <c r="U22" i="1"/>
  <c r="T22" i="1"/>
  <c r="W21" i="1"/>
  <c r="V21" i="1"/>
  <c r="U21" i="1"/>
  <c r="T21" i="1"/>
  <c r="W20" i="1"/>
  <c r="V20" i="1"/>
  <c r="U20" i="1"/>
  <c r="T20" i="1"/>
  <c r="W19" i="1"/>
  <c r="V19" i="1"/>
  <c r="U19" i="1"/>
  <c r="T19" i="1"/>
  <c r="W18" i="1"/>
  <c r="V18" i="1"/>
  <c r="U18" i="1"/>
  <c r="T18" i="1"/>
  <c r="W17" i="1"/>
  <c r="V17" i="1"/>
  <c r="U17" i="1"/>
  <c r="T17" i="1"/>
  <c r="W16" i="1"/>
  <c r="V16" i="1"/>
  <c r="U16" i="1"/>
  <c r="T16" i="1"/>
  <c r="W15" i="1"/>
  <c r="V15" i="1"/>
  <c r="U15" i="1"/>
  <c r="T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W3" i="1"/>
  <c r="V3" i="1"/>
  <c r="U3" i="1"/>
  <c r="T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W2" i="1"/>
  <c r="V2" i="1"/>
  <c r="U2" i="1"/>
  <c r="T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26" authorId="0" shapeId="0" xr:uid="{528965D7-AE24-4792-B51A-927CC7404667}">
      <text>
        <r>
          <rPr>
            <sz val="11"/>
            <color theme="1"/>
            <rFont val="Arial"/>
            <family val="2"/>
            <scheme val="minor"/>
          </rPr>
          <t>dimasukan kabupaten Malinau di Neofeeder
======</t>
        </r>
      </text>
    </comment>
  </commentList>
</comments>
</file>

<file path=xl/sharedStrings.xml><?xml version="1.0" encoding="utf-8"?>
<sst xmlns="http://schemas.openxmlformats.org/spreadsheetml/2006/main" count="5634" uniqueCount="2355">
  <si>
    <t>No</t>
  </si>
  <si>
    <t>NIM</t>
  </si>
  <si>
    <t>Nama</t>
  </si>
  <si>
    <t>Email</t>
  </si>
  <si>
    <t>NISN</t>
  </si>
  <si>
    <t>Jenis Kelamin</t>
  </si>
  <si>
    <t>Nomor Telepon</t>
  </si>
  <si>
    <t>Tempat Lahir</t>
  </si>
  <si>
    <t>Tanggal Lahir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</si>
  <si>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</si>
  <si>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</si>
  <si>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</si>
  <si>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</si>
  <si>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</si>
  <si>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</si>
  <si>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</si>
  <si>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</si>
  <si>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Program Studi</t>
  </si>
  <si>
    <t>MENGETAHUI STIH ADHYAKSA DARI</t>
  </si>
  <si>
    <t>SMA</t>
  </si>
  <si>
    <t>BEASISWA</t>
  </si>
  <si>
    <t>JENIS BEASISWA</t>
  </si>
  <si>
    <t>ANGKATAN</t>
  </si>
  <si>
    <t>KEWARGANEGARAAN</t>
  </si>
  <si>
    <t>JENIS PENDAFTARAN</t>
  </si>
  <si>
    <t>JALUR PENDAFTARAN</t>
  </si>
  <si>
    <t>TANGGAL MASUK KULIAH</t>
  </si>
  <si>
    <t>MULAI SEMESTER</t>
  </si>
  <si>
    <t>2230122001</t>
  </si>
  <si>
    <t>Muhammad Faridh Hakim Hidayat</t>
  </si>
  <si>
    <t>muhammad.faridh@stih-adhyaksa.ac.id</t>
  </si>
  <si>
    <t>0050353767</t>
  </si>
  <si>
    <t>L</t>
  </si>
  <si>
    <t>081290459014</t>
  </si>
  <si>
    <t>Jakarta</t>
  </si>
  <si>
    <t>Islam</t>
  </si>
  <si>
    <t>Nangka No.17</t>
  </si>
  <si>
    <t>008</t>
  </si>
  <si>
    <t>02</t>
  </si>
  <si>
    <t>Ceger</t>
  </si>
  <si>
    <t>Cipayung</t>
  </si>
  <si>
    <t>S1 - Ilmu Hukum</t>
  </si>
  <si>
    <t>Spanduk dekat rumah</t>
  </si>
  <si>
    <t>2230122002</t>
  </si>
  <si>
    <t>Rafi Ashtari Musyaffa</t>
  </si>
  <si>
    <t>rafi.musyaffa@stih-adhyaksa.ac.id</t>
  </si>
  <si>
    <t>0043837519</t>
  </si>
  <si>
    <t>087784419165</t>
  </si>
  <si>
    <t>Jl. Gebang Sari Dalam 3 No. 52</t>
  </si>
  <si>
    <t>007</t>
  </si>
  <si>
    <t>005</t>
  </si>
  <si>
    <t>Bambu Apus</t>
  </si>
  <si>
    <t xml:space="preserve">Keluarga / Kerabat </t>
  </si>
  <si>
    <t>2230122003</t>
  </si>
  <si>
    <t>Reza Adi Hioctava Darsana</t>
  </si>
  <si>
    <t>reza.darsana@stih-adhyaksa.ac.id</t>
  </si>
  <si>
    <t>0035191066</t>
  </si>
  <si>
    <t>081932456713</t>
  </si>
  <si>
    <t>Depok</t>
  </si>
  <si>
    <t>GDC Cluster Azalea Blok W7/23</t>
  </si>
  <si>
    <t>002</t>
  </si>
  <si>
    <t>006</t>
  </si>
  <si>
    <t>Jatimulya</t>
  </si>
  <si>
    <t>2230122004</t>
  </si>
  <si>
    <t>Cipta Ekalasari Rahmawati</t>
  </si>
  <si>
    <t>cipta.ekalasari@stih-adhyaksa.ac.id</t>
  </si>
  <si>
    <t>0034178559</t>
  </si>
  <si>
    <t>P</t>
  </si>
  <si>
    <t>Blora</t>
  </si>
  <si>
    <t>Balun Kandangdoro</t>
  </si>
  <si>
    <t>04</t>
  </si>
  <si>
    <t>Balun</t>
  </si>
  <si>
    <t>Cepu</t>
  </si>
  <si>
    <t>2230122005</t>
  </si>
  <si>
    <t>Fahmil Qur'an Tuasikal</t>
  </si>
  <si>
    <t>fahmil.tuasikal@stih-adhyaksa.ac.id</t>
  </si>
  <si>
    <t>0048150276</t>
  </si>
  <si>
    <t>Bogor</t>
  </si>
  <si>
    <t>Bogor Baru Blok B III/4-B</t>
  </si>
  <si>
    <t>001</t>
  </si>
  <si>
    <t>Bogor Baru</t>
  </si>
  <si>
    <t>Tegal Gundil</t>
  </si>
  <si>
    <t>Bogor Utara</t>
  </si>
  <si>
    <t>2230122006</t>
  </si>
  <si>
    <t>Ferdinata Danendra Prastistha</t>
  </si>
  <si>
    <t>ferdinata@stih-adhyaksa.ac.id</t>
  </si>
  <si>
    <t>0032121274</t>
  </si>
  <si>
    <t>Matarama</t>
  </si>
  <si>
    <t>Purbalingga Punia</t>
  </si>
  <si>
    <t>15</t>
  </si>
  <si>
    <t>Punia</t>
  </si>
  <si>
    <t>Mataram</t>
  </si>
  <si>
    <t>2230122007</t>
  </si>
  <si>
    <t>Frans Tito Pangihutan Sitompul</t>
  </si>
  <si>
    <t>frans.sitompul@stih-adhyaksa.ac.id</t>
  </si>
  <si>
    <t>0018538963</t>
  </si>
  <si>
    <t>Langsa</t>
  </si>
  <si>
    <t xml:space="preserve">Kristen </t>
  </si>
  <si>
    <t>Tembakau 18 No 6 Perumnas Simalingkar</t>
  </si>
  <si>
    <t>Mangga</t>
  </si>
  <si>
    <t>Medan Tuntungan</t>
  </si>
  <si>
    <t>2230122008</t>
  </si>
  <si>
    <t>Indra Setiawan</t>
  </si>
  <si>
    <t>indra.setiawan@stih-adhyaksa.ac.id</t>
  </si>
  <si>
    <t>Malang</t>
  </si>
  <si>
    <t xml:space="preserve">Mesjid Alarifiyah </t>
  </si>
  <si>
    <t>08</t>
  </si>
  <si>
    <t>07</t>
  </si>
  <si>
    <t>Jatiwaringin</t>
  </si>
  <si>
    <t>Pondok Gede</t>
  </si>
  <si>
    <t>2230122009</t>
  </si>
  <si>
    <t>Mohammad Fadli Taufiqurrahman</t>
  </si>
  <si>
    <t>mtaufiqurrahman@stih-adhyaksa.ac.id</t>
  </si>
  <si>
    <t>0042267031</t>
  </si>
  <si>
    <t>Subang</t>
  </si>
  <si>
    <t>Kp. Kamarung Selatan</t>
  </si>
  <si>
    <t>Kamarung</t>
  </si>
  <si>
    <t>Pagaden</t>
  </si>
  <si>
    <t>2230122010</t>
  </si>
  <si>
    <t>Muhammad Javier Riansyah</t>
  </si>
  <si>
    <t>mriansyah@stih-adhyaksa.ac.id</t>
  </si>
  <si>
    <t>0015015450</t>
  </si>
  <si>
    <t>Komplek Kejagung Jl Adhyaksa VI</t>
  </si>
  <si>
    <t>03</t>
  </si>
  <si>
    <t>05</t>
  </si>
  <si>
    <t>Lebak Bulus</t>
  </si>
  <si>
    <t>Cilandak</t>
  </si>
  <si>
    <t>2230122011</t>
  </si>
  <si>
    <t>Mohamad Mahendra Ryowijaya</t>
  </si>
  <si>
    <t>mryowijaya@stih-adhyaksa.ac.id</t>
  </si>
  <si>
    <t>0009045565</t>
  </si>
  <si>
    <t>081284082280</t>
  </si>
  <si>
    <t>Bandung</t>
  </si>
  <si>
    <t>Jl. Pisangan Raya Blok C-3, Perumahan Saung Gintung</t>
  </si>
  <si>
    <t>Cireundeu</t>
  </si>
  <si>
    <t xml:space="preserve">Ciputat Timur </t>
  </si>
  <si>
    <t>2230122012</t>
  </si>
  <si>
    <t>Hafiz Syafrudin</t>
  </si>
  <si>
    <t>hafiz@stih-adhyaksa.ac.id</t>
  </si>
  <si>
    <t>0263055</t>
  </si>
  <si>
    <t>-</t>
  </si>
  <si>
    <t>Pekanbaru</t>
  </si>
  <si>
    <t>Jl. Tanah Baru IV</t>
  </si>
  <si>
    <t>003</t>
  </si>
  <si>
    <t>Grogol Utara</t>
  </si>
  <si>
    <t>Kebayoran Lama</t>
  </si>
  <si>
    <t>2230122013</t>
  </si>
  <si>
    <t>Muhammad Rizki Ananda</t>
  </si>
  <si>
    <t>mrizki@stih-adhyaksa.ac.id</t>
  </si>
  <si>
    <t>081287735184</t>
  </si>
  <si>
    <t>Padang</t>
  </si>
  <si>
    <t xml:space="preserve">Jl. Adhyaksa VIII Blok D74 </t>
  </si>
  <si>
    <t xml:space="preserve">Cilandak </t>
  </si>
  <si>
    <t>2230122014</t>
  </si>
  <si>
    <t>Agung Hidayatullah</t>
  </si>
  <si>
    <t>agung.hidayatullah@stih-adhyaksa.ac.id</t>
  </si>
  <si>
    <t>0030033841</t>
  </si>
  <si>
    <t>081366838800</t>
  </si>
  <si>
    <t>Lubuk Linggau</t>
  </si>
  <si>
    <t>Jl. Kombes Haji Umar Gg. Antara  No. 58</t>
  </si>
  <si>
    <t>19</t>
  </si>
  <si>
    <t>Besema Searasan</t>
  </si>
  <si>
    <t>Pagar Alam Selatan</t>
  </si>
  <si>
    <t>2230122015</t>
  </si>
  <si>
    <t>Agung Muhammad</t>
  </si>
  <si>
    <t>agung.muh@stih-adhyaksa.ac.id</t>
  </si>
  <si>
    <t>9976075588</t>
  </si>
  <si>
    <t>082214059032</t>
  </si>
  <si>
    <t xml:space="preserve">Jl. Samudera No. 138, Padang Barat </t>
  </si>
  <si>
    <t>004</t>
  </si>
  <si>
    <t>Purus</t>
  </si>
  <si>
    <t>Padang Barat</t>
  </si>
  <si>
    <t>2230122016</t>
  </si>
  <si>
    <t>Angelina Sendy Rumondor</t>
  </si>
  <si>
    <t>angelina.sendy@stih-adhyaksa.ac.id</t>
  </si>
  <si>
    <t>0005664948</t>
  </si>
  <si>
    <t>083133139263</t>
  </si>
  <si>
    <t>Tomohon</t>
  </si>
  <si>
    <t>Kel. Pangolombian Lingkar VII</t>
  </si>
  <si>
    <t>Pangolombian</t>
  </si>
  <si>
    <t>Tomohon Selatan</t>
  </si>
  <si>
    <t>2230122017</t>
  </si>
  <si>
    <t>Arif Firmansyah</t>
  </si>
  <si>
    <t>arif.firmansyah@stih-adhyaksa.ac.id</t>
  </si>
  <si>
    <t>0006876677</t>
  </si>
  <si>
    <t>085766229269</t>
  </si>
  <si>
    <t>Batam</t>
  </si>
  <si>
    <t xml:space="preserve">Perum Griya Permai Blok RR/4 </t>
  </si>
  <si>
    <t>Sungai Binti</t>
  </si>
  <si>
    <t>Sagulung</t>
  </si>
  <si>
    <t>2230122018</t>
  </si>
  <si>
    <t>Atika Hilwa Afli</t>
  </si>
  <si>
    <t>atika.hilwa@stih-adhyaksa.ac.id</t>
  </si>
  <si>
    <t>0022796142</t>
  </si>
  <si>
    <t>085374152390</t>
  </si>
  <si>
    <t>Bangkinang</t>
  </si>
  <si>
    <t>Kampung Godang Desa Pulau Lawas</t>
  </si>
  <si>
    <t>Pulau Lawas</t>
  </si>
  <si>
    <t>2230122019</t>
  </si>
  <si>
    <t>Bintang Jambi Putra</t>
  </si>
  <si>
    <t>bintang.putra@stih-adhyaksa.ac.id</t>
  </si>
  <si>
    <t>1412</t>
  </si>
  <si>
    <t>085824210540</t>
  </si>
  <si>
    <t>Jambi</t>
  </si>
  <si>
    <t xml:space="preserve">Jl Nenas No.4 </t>
  </si>
  <si>
    <t>015</t>
  </si>
  <si>
    <t>Beringin</t>
  </si>
  <si>
    <t>Pasar Jambi</t>
  </si>
  <si>
    <t>2230122020</t>
  </si>
  <si>
    <t>Chelsylia Ivana BR Sihite</t>
  </si>
  <si>
    <t>chelsylia@stih-adhyaksa.ac.id</t>
  </si>
  <si>
    <t>0050550807</t>
  </si>
  <si>
    <t>085274601149</t>
  </si>
  <si>
    <t>Medan</t>
  </si>
  <si>
    <t>Blok 16 Ling XII P Sicanang Belawan</t>
  </si>
  <si>
    <t>Belawaan Sicanang</t>
  </si>
  <si>
    <t>Medan Belawan</t>
  </si>
  <si>
    <t>2230122021</t>
  </si>
  <si>
    <t>Darin Al Dzamira</t>
  </si>
  <si>
    <t>darin.dzamira@stih-adhyaksa.ac.id</t>
  </si>
  <si>
    <t>0040471071</t>
  </si>
  <si>
    <t>082126001338</t>
  </si>
  <si>
    <t>Gorontalo</t>
  </si>
  <si>
    <t>Perumahan Bukit Gelase Asri No. B 35</t>
  </si>
  <si>
    <t>Dul</t>
  </si>
  <si>
    <t>Gajah Mada</t>
  </si>
  <si>
    <t>Rangkui</t>
  </si>
  <si>
    <t>2230122022</t>
  </si>
  <si>
    <t>Dita Pertiwi</t>
  </si>
  <si>
    <t>dita.pertiwi@stih-adhyaksa.ac.id</t>
  </si>
  <si>
    <t>085241569695</t>
  </si>
  <si>
    <t>Kolaka</t>
  </si>
  <si>
    <t xml:space="preserve">Jl. Pemuda No 340 </t>
  </si>
  <si>
    <t>1 Lakondole</t>
  </si>
  <si>
    <t>19 Nopember</t>
  </si>
  <si>
    <t>Wundulako</t>
  </si>
  <si>
    <t>2230122023</t>
  </si>
  <si>
    <t>Dwi Ratu Pratiwi Raya Pailin</t>
  </si>
  <si>
    <t>dwi.ratu@stih-adhyaksa.ac.id</t>
  </si>
  <si>
    <t>9973873353</t>
  </si>
  <si>
    <t>082346318880</t>
  </si>
  <si>
    <t>Makassar</t>
  </si>
  <si>
    <t>BTN Bukit Karema Indah Blok C/17</t>
  </si>
  <si>
    <t>Karema</t>
  </si>
  <si>
    <t>Mamuju</t>
  </si>
  <si>
    <t>2230122024</t>
  </si>
  <si>
    <t>Erdy Pranoto</t>
  </si>
  <si>
    <t>erdy.pranoto@stih-adhyaksa.ac.id</t>
  </si>
  <si>
    <t>9951971373</t>
  </si>
  <si>
    <t>0811771512</t>
  </si>
  <si>
    <t>Tanjungpinang</t>
  </si>
  <si>
    <t>Kp. Air Bukit</t>
  </si>
  <si>
    <t>Pinang Kencana</t>
  </si>
  <si>
    <t>Tanjung Pinang Timur</t>
  </si>
  <si>
    <t>2230122025</t>
  </si>
  <si>
    <t>Ilham Sawaldi</t>
  </si>
  <si>
    <t> ilham.sawaldi@stih-adhyaksa.ac.id</t>
  </si>
  <si>
    <t>0014099232</t>
  </si>
  <si>
    <t>085216360940</t>
  </si>
  <si>
    <t>Bukit Tinggi</t>
  </si>
  <si>
    <t>Jl. Kejaksaan No 198</t>
  </si>
  <si>
    <t>Belakang Balok</t>
  </si>
  <si>
    <t>Aur Birugo Tigo Baleh</t>
  </si>
  <si>
    <t>Rekan Kantor</t>
  </si>
  <si>
    <t>2230122026</t>
  </si>
  <si>
    <t>Karel Gilbert Tobing</t>
  </si>
  <si>
    <t>karel.tobing@stih-adhyaksa.ac.id</t>
  </si>
  <si>
    <t>0012714963</t>
  </si>
  <si>
    <t>08116090410</t>
  </si>
  <si>
    <t>Perumahan Mentari Emas No. 31</t>
  </si>
  <si>
    <t>Tangsi</t>
  </si>
  <si>
    <t>Binjai Kota</t>
  </si>
  <si>
    <t>2230122027</t>
  </si>
  <si>
    <t>Muhammad Rafly Dwitama</t>
  </si>
  <si>
    <t>mdwitama@stih-adhyaksa.ac.id</t>
  </si>
  <si>
    <t>00359377951</t>
  </si>
  <si>
    <t>085267907530</t>
  </si>
  <si>
    <t>Muara Enim</t>
  </si>
  <si>
    <t>Jl. Agung I No. 116</t>
  </si>
  <si>
    <t>Perumnas Way Halim</t>
  </si>
  <si>
    <t>Way Halim</t>
  </si>
  <si>
    <t>2230122028</t>
  </si>
  <si>
    <t>Nadila Achmad</t>
  </si>
  <si>
    <t>nadila.achmad@stih-adhyaksa.ac.id</t>
  </si>
  <si>
    <t>0036541836</t>
  </si>
  <si>
    <t>082259857812</t>
  </si>
  <si>
    <t>Tidore</t>
  </si>
  <si>
    <t xml:space="preserve">Jln.A.Malawat </t>
  </si>
  <si>
    <t>Goto</t>
  </si>
  <si>
    <t>2230122029</t>
  </si>
  <si>
    <t>Nazla Turahma Syahdilla</t>
  </si>
  <si>
    <t>nazla.syahdilla@stih-adhyaksa.ac.id</t>
  </si>
  <si>
    <t>0021589417</t>
  </si>
  <si>
    <t>081310918285</t>
  </si>
  <si>
    <t>Tangerang</t>
  </si>
  <si>
    <t>Pesona Cianjur Indah Blok AA No. 10</t>
  </si>
  <si>
    <t>Nagrak</t>
  </si>
  <si>
    <t>Cianjur</t>
  </si>
  <si>
    <t>2230122030</t>
  </si>
  <si>
    <t>Ricko Dwi Nugroho</t>
  </si>
  <si>
    <t>rnugroho@stih-adhyaksa.ac.id</t>
  </si>
  <si>
    <t>9961701451</t>
  </si>
  <si>
    <t>087876078102</t>
  </si>
  <si>
    <t>Jl. Rusa III No. 100</t>
  </si>
  <si>
    <t>Pondok Ranji</t>
  </si>
  <si>
    <t>2230122031</t>
  </si>
  <si>
    <t>Rifi Khusnan Muaward</t>
  </si>
  <si>
    <t>rmuaward@stih-adhyaksa.ac.id</t>
  </si>
  <si>
    <t>0038477828</t>
  </si>
  <si>
    <t>081223329570</t>
  </si>
  <si>
    <t>Cirebon</t>
  </si>
  <si>
    <t>Kmp. Grogol</t>
  </si>
  <si>
    <t>Grogol</t>
  </si>
  <si>
    <t>Gunungjati</t>
  </si>
  <si>
    <t>2230122032</t>
  </si>
  <si>
    <t>Ahmad Sodiqin</t>
  </si>
  <si>
    <t>ahmad.sodiqin@stih-adhyaksa.ac.id</t>
  </si>
  <si>
    <t>0011829413</t>
  </si>
  <si>
    <t>08991367513</t>
  </si>
  <si>
    <t>Perumnas Antang Jl. Lasuloro Raya Blok 4 No. 44</t>
  </si>
  <si>
    <t xml:space="preserve">001 </t>
  </si>
  <si>
    <t>Manggala</t>
  </si>
  <si>
    <t>2230122033</t>
  </si>
  <si>
    <t>Pradhana Mahardhika Swastyayana</t>
  </si>
  <si>
    <t>pradhana@stih-adhyaksa.ac.id</t>
  </si>
  <si>
    <t>0026938772</t>
  </si>
  <si>
    <t>087851514051</t>
  </si>
  <si>
    <t>Kota Madiun</t>
  </si>
  <si>
    <t>Jalan trengguli No. 40</t>
  </si>
  <si>
    <t>024</t>
  </si>
  <si>
    <t>Oro-oro Ombo</t>
  </si>
  <si>
    <t>Kartoharjo</t>
  </si>
  <si>
    <t>2230122034</t>
  </si>
  <si>
    <t>Qinan Farabi</t>
  </si>
  <si>
    <t>qinan.farabi@stih-adhyaksa.ac.id</t>
  </si>
  <si>
    <t>9972055633</t>
  </si>
  <si>
    <t>083874981789</t>
  </si>
  <si>
    <t>Jl. Otista No. 10</t>
  </si>
  <si>
    <t>012</t>
  </si>
  <si>
    <t>Bidara Cina</t>
  </si>
  <si>
    <t>Jatinegara</t>
  </si>
  <si>
    <t>2230122036</t>
  </si>
  <si>
    <t>Cinta Sekar Kinanti</t>
  </si>
  <si>
    <t>cinta.kinanti@stih-adhyaksa.ac.id</t>
  </si>
  <si>
    <t>0035196754</t>
  </si>
  <si>
    <t>0895345843840</t>
  </si>
  <si>
    <t>Jl. Angsana III No. 256</t>
  </si>
  <si>
    <t>016</t>
  </si>
  <si>
    <t>Mekarjaya</t>
  </si>
  <si>
    <t>Sukmajaya</t>
  </si>
  <si>
    <t>2230122037</t>
  </si>
  <si>
    <t>Fernando Dwi Putra</t>
  </si>
  <si>
    <t>fernando.dwi@stih-adhyaksa.ac.id</t>
  </si>
  <si>
    <t>0004695694</t>
  </si>
  <si>
    <t>087876459333</t>
  </si>
  <si>
    <t>Jl. Bekasi Timur IV No. 117</t>
  </si>
  <si>
    <t>Cipinang Besar Utara</t>
  </si>
  <si>
    <t>2230122038</t>
  </si>
  <si>
    <t>Riski Septiawan</t>
  </si>
  <si>
    <t>riski.septiawan@stih-adhyaksa.ac.id</t>
  </si>
  <si>
    <t>0050313467</t>
  </si>
  <si>
    <t>081379620591</t>
  </si>
  <si>
    <t>Ujanmas</t>
  </si>
  <si>
    <t>Desa Ujanmas</t>
  </si>
  <si>
    <t>Pengandonan</t>
  </si>
  <si>
    <t>Sosial Media</t>
  </si>
  <si>
    <t>2230122039</t>
  </si>
  <si>
    <t>Aldio Sanjaya</t>
  </si>
  <si>
    <t>aldio.sanjaya@stih-adhyaksa.ac.id</t>
  </si>
  <si>
    <t>0033858214</t>
  </si>
  <si>
    <t>081213599660</t>
  </si>
  <si>
    <t>Jl. Adhyaksa VIII Blok C No. 31</t>
  </si>
  <si>
    <t>2230122040</t>
  </si>
  <si>
    <t>Andi Maulana Fajar Syah</t>
  </si>
  <si>
    <t>andi.maulana@stih-adhyaksa.ac.id</t>
  </si>
  <si>
    <t>0013776120</t>
  </si>
  <si>
    <t>087846912724</t>
  </si>
  <si>
    <t>Sungguminasa</t>
  </si>
  <si>
    <t>Jl. Elang No. 25D</t>
  </si>
  <si>
    <t>Lambaselo</t>
  </si>
  <si>
    <t>Somba Opu</t>
  </si>
  <si>
    <t>2230122041</t>
  </si>
  <si>
    <t>Hilwani</t>
  </si>
  <si>
    <t>hilwani@stih-adhyaksa.ac.id</t>
  </si>
  <si>
    <t>30402231871</t>
  </si>
  <si>
    <t>081387061526</t>
  </si>
  <si>
    <t>Jl. Sukamanah Jaya No. 20</t>
  </si>
  <si>
    <t>Sukasari</t>
  </si>
  <si>
    <t>2230122042</t>
  </si>
  <si>
    <t>Michelle Maria Renata De Fretes</t>
  </si>
  <si>
    <t>michelle.maria@stih-adhyaksa.ac.id</t>
  </si>
  <si>
    <t>0007784273</t>
  </si>
  <si>
    <t>082198941070</t>
  </si>
  <si>
    <t>Ambon</t>
  </si>
  <si>
    <t>Benteng Atas Jl. Gajah Lorong Nazareth</t>
  </si>
  <si>
    <t>Nusaniwe</t>
  </si>
  <si>
    <t>2230122043</t>
  </si>
  <si>
    <t>Nafhan Adhyaksa Prakasa Amin</t>
  </si>
  <si>
    <t>nafhan.amin@stih-adhyaksa.ac.id</t>
  </si>
  <si>
    <t>0042278998</t>
  </si>
  <si>
    <t>0812342113</t>
  </si>
  <si>
    <t>Jl. Duren Tiga Selatan No. 33B</t>
  </si>
  <si>
    <t>Duren Tiga</t>
  </si>
  <si>
    <t>Pancoran</t>
  </si>
  <si>
    <t>2230122044</t>
  </si>
  <si>
    <t>Ni Ketut Ayu Intanna Dewi</t>
  </si>
  <si>
    <t>ayu.intanna@stih-adhyaksa.ac.id</t>
  </si>
  <si>
    <t>0030874172</t>
  </si>
  <si>
    <t>085738833515</t>
  </si>
  <si>
    <t>Denpasar</t>
  </si>
  <si>
    <t>Hindu</t>
  </si>
  <si>
    <t>Br/ Link. Merta Buana Denpasar</t>
  </si>
  <si>
    <t>Padangsambian</t>
  </si>
  <si>
    <t>Denpasar Barat</t>
  </si>
  <si>
    <t>2230122045</t>
  </si>
  <si>
    <t>Noni Rihhadatul Aisya</t>
  </si>
  <si>
    <t>noni.aisya@stih-adhyaksa.ac.id</t>
  </si>
  <si>
    <t>0041259660</t>
  </si>
  <si>
    <t>082112191862</t>
  </si>
  <si>
    <t>Jl. Raya Ciangsana No. 27</t>
  </si>
  <si>
    <t>Ciangsana</t>
  </si>
  <si>
    <t>Gunung Putri</t>
  </si>
  <si>
    <t>2230122046</t>
  </si>
  <si>
    <t>Tiara Putri Masthurine</t>
  </si>
  <si>
    <t>tiara.putri@stih-adhyaksa.ac.id</t>
  </si>
  <si>
    <t>0036564010</t>
  </si>
  <si>
    <t>085172383383</t>
  </si>
  <si>
    <t>Perumahan Bukit Indah Blok L3 No. 1</t>
  </si>
  <si>
    <t>Sarua</t>
  </si>
  <si>
    <t>Ciputat</t>
  </si>
  <si>
    <t>Tangerang Selatan</t>
  </si>
  <si>
    <t>2230122047</t>
  </si>
  <si>
    <t>Zuhrah Annafira</t>
  </si>
  <si>
    <t>zuhrah.annafira@stih-adhyaksa.ac.id</t>
  </si>
  <si>
    <t>9990780390</t>
  </si>
  <si>
    <t>085718918043</t>
  </si>
  <si>
    <t>Komp. Polri Jl. I No. 17</t>
  </si>
  <si>
    <t>009</t>
  </si>
  <si>
    <t>Ragunan</t>
  </si>
  <si>
    <t>Pasar Minggu</t>
  </si>
  <si>
    <t>2230122048</t>
  </si>
  <si>
    <t>Jainal Azhari Batubara</t>
  </si>
  <si>
    <t>jainal.azhari@stih-adhyaksa.ac.id</t>
  </si>
  <si>
    <t>0041798222</t>
  </si>
  <si>
    <t>081362854010</t>
  </si>
  <si>
    <t>Lopian</t>
  </si>
  <si>
    <t xml:space="preserve">Jln.Padang Sidimpuan Lopian Lingkungan II Lopian </t>
  </si>
  <si>
    <t>Lingkungan II Lopian</t>
  </si>
  <si>
    <t>Badiri</t>
  </si>
  <si>
    <t>2230122049</t>
  </si>
  <si>
    <t>Muhammad Reza Fahlevi</t>
  </si>
  <si>
    <t>reza.fahlevi@stih-adhyaksa.ac.id</t>
  </si>
  <si>
    <t>0009402591</t>
  </si>
  <si>
    <t>081298668912</t>
  </si>
  <si>
    <t>Bekasi</t>
  </si>
  <si>
    <t>Perumahan Tridaya Indah 2,Blok C15 No.1</t>
  </si>
  <si>
    <t>Sumber Jaya</t>
  </si>
  <si>
    <t>Tambun Selatan</t>
  </si>
  <si>
    <t>Staff STIH Adhyaksa</t>
  </si>
  <si>
    <t>2230122050</t>
  </si>
  <si>
    <t>Fahmi Alamsyah</t>
  </si>
  <si>
    <t>fahmi.alamsyah@stih-adhyaksa.ac.id</t>
  </si>
  <si>
    <t>0001353323</t>
  </si>
  <si>
    <t>083847807633</t>
  </si>
  <si>
    <t>Jalan Pejaten Barat II</t>
  </si>
  <si>
    <t>Pejaten Barat</t>
  </si>
  <si>
    <t>2230122051</t>
  </si>
  <si>
    <t>Febrryansyah Ramadhan</t>
  </si>
  <si>
    <t>febrryansyah@stih-adhyaksa.ac.id</t>
  </si>
  <si>
    <t>9952812123</t>
  </si>
  <si>
    <t>081387987936</t>
  </si>
  <si>
    <t>Matraman Dalam 3 No.27</t>
  </si>
  <si>
    <t>Menteng</t>
  </si>
  <si>
    <t>Pegangsaan</t>
  </si>
  <si>
    <t>2230122052</t>
  </si>
  <si>
    <t>Robby Putra Priyatna</t>
  </si>
  <si>
    <t>robby.priyatna@stih-adhyaksa.ac.id</t>
  </si>
  <si>
    <t>9992012345</t>
  </si>
  <si>
    <t>087898679054</t>
  </si>
  <si>
    <t>Jl.Poltangan V</t>
  </si>
  <si>
    <t>010</t>
  </si>
  <si>
    <t>2230122053</t>
  </si>
  <si>
    <t>Muhammad Haris</t>
  </si>
  <si>
    <t>muhammad.haris@stih-adhyaksa.ac.id</t>
  </si>
  <si>
    <t>9961939196</t>
  </si>
  <si>
    <t>081240600097</t>
  </si>
  <si>
    <t>Palembang</t>
  </si>
  <si>
    <t>Jl.Kelapa Sawit VIII No.528 Blok VI P'Nas TLK</t>
  </si>
  <si>
    <t>051</t>
  </si>
  <si>
    <t>014</t>
  </si>
  <si>
    <t>Talang Kelapa</t>
  </si>
  <si>
    <t>Alang Alang Lebar</t>
  </si>
  <si>
    <t>2230122054</t>
  </si>
  <si>
    <t>Muhammad Al-Qodri</t>
  </si>
  <si>
    <t>al.qodri@stih-adhyaksa.ac.id</t>
  </si>
  <si>
    <t>4114</t>
  </si>
  <si>
    <t>085664783204</t>
  </si>
  <si>
    <t>Margorejo</t>
  </si>
  <si>
    <t>Jalan Wana Bakti 1 No.11</t>
  </si>
  <si>
    <t>Metro Barat</t>
  </si>
  <si>
    <t>2230122055</t>
  </si>
  <si>
    <t>Richie Stephen Henrizal</t>
  </si>
  <si>
    <t>richie.henrizal@stih-adhyaksa.ac.id</t>
  </si>
  <si>
    <t>0027674746</t>
  </si>
  <si>
    <t>089680072000</t>
  </si>
  <si>
    <t>Cimahi</t>
  </si>
  <si>
    <t>Jl. Sawo 7 Blok SU No. 1</t>
  </si>
  <si>
    <t>Pejuang</t>
  </si>
  <si>
    <t>Medan Satria</t>
  </si>
  <si>
    <t>2230122056</t>
  </si>
  <si>
    <t>Agustori</t>
  </si>
  <si>
    <t>agustori@stih-adhyaksa.ac.id</t>
  </si>
  <si>
    <t>081282821520</t>
  </si>
  <si>
    <t>Pondok Aren</t>
  </si>
  <si>
    <t>Bintaro Jaya</t>
  </si>
  <si>
    <t>2230122057</t>
  </si>
  <si>
    <t>Satrio Prabowo</t>
  </si>
  <si>
    <t>satrio@stih-adhyaksa.ac.id</t>
  </si>
  <si>
    <t>081222826629</t>
  </si>
  <si>
    <t>Jl Adhyaksa VII /D65 ,Lebak Bulus , Cilandak</t>
  </si>
  <si>
    <t>Pondok Labu</t>
  </si>
  <si>
    <t>2230122058</t>
  </si>
  <si>
    <t>Ananda Salwa Sari</t>
  </si>
  <si>
    <t>ananda.sari@stih-adhyaksa.ac.id</t>
  </si>
  <si>
    <t>082112618852</t>
  </si>
  <si>
    <t>Jl.Cempaka Indah 1 No.63 Perumahan Jati Kramat Indah 1</t>
  </si>
  <si>
    <t>Jatiasih</t>
  </si>
  <si>
    <t>Jatikramat</t>
  </si>
  <si>
    <t>2230122059</t>
  </si>
  <si>
    <t>Umar Ahmad Zain</t>
  </si>
  <si>
    <t>umar.zain@stih-adhyaksa.ac.id</t>
  </si>
  <si>
    <t>081316380040</t>
  </si>
  <si>
    <t>Kairo</t>
  </si>
  <si>
    <t>Jl.Merapi 1 Blok A5 No.8 , Pondok Melati Indah</t>
  </si>
  <si>
    <t>Jatiwarna</t>
  </si>
  <si>
    <t>Pondok Melati</t>
  </si>
  <si>
    <t>2230122060</t>
  </si>
  <si>
    <t>Rika Muara</t>
  </si>
  <si>
    <t>rika.muara@stih-adhyaksa.ac.id</t>
  </si>
  <si>
    <t>007105873</t>
  </si>
  <si>
    <t>081274460303</t>
  </si>
  <si>
    <t>Ketapang</t>
  </si>
  <si>
    <t>Jl.H.I Mashyur No.34</t>
  </si>
  <si>
    <t>Gedung Ketapang</t>
  </si>
  <si>
    <t>Sungkai Selatan</t>
  </si>
  <si>
    <t>2230122061</t>
  </si>
  <si>
    <t>Matulesy Setyo Nugroho</t>
  </si>
  <si>
    <t>matulesy.sn@stih-adhyaksa.ac.id</t>
  </si>
  <si>
    <t>082243883336</t>
  </si>
  <si>
    <t>Wonogiri</t>
  </si>
  <si>
    <t>Semin Wetan Wonogiri</t>
  </si>
  <si>
    <t>purworejo</t>
  </si>
  <si>
    <t>wonogiri</t>
  </si>
  <si>
    <t>2230122062</t>
  </si>
  <si>
    <t>Simon Pangihutan Simorangkir</t>
  </si>
  <si>
    <t xml:space="preserve">simon.simorangkir@stih-adhyaksa.ac.id    </t>
  </si>
  <si>
    <t>9936978092</t>
  </si>
  <si>
    <t>08111866555</t>
  </si>
  <si>
    <t>Jln. Komplek Perumahan Bea dan Cukai No. 47</t>
  </si>
  <si>
    <t>2230122063</t>
  </si>
  <si>
    <t>Kristomos Daniel Halason Sihombing</t>
  </si>
  <si>
    <t>kristomos.daniel@stih-adhyaksa.ac.id</t>
  </si>
  <si>
    <t>0035594539</t>
  </si>
  <si>
    <t>081386839663</t>
  </si>
  <si>
    <t>Gang Irigasi No.60</t>
  </si>
  <si>
    <t>Makasar</t>
  </si>
  <si>
    <t>2230122064</t>
  </si>
  <si>
    <t>Nabilla Rifda Nathania</t>
  </si>
  <si>
    <t>nabilla.rifda@stih-adhyaksa.ac.id</t>
  </si>
  <si>
    <t>0032392604</t>
  </si>
  <si>
    <t>0818909888</t>
  </si>
  <si>
    <t>Jln. Asgo 2 No. 2</t>
  </si>
  <si>
    <t>011</t>
  </si>
  <si>
    <t>Kp Rambutan</t>
  </si>
  <si>
    <t>Ciracas</t>
  </si>
  <si>
    <t>Terdekat dari sekolah (di Jaktim)</t>
  </si>
  <si>
    <t>2230122065</t>
  </si>
  <si>
    <t>Opal Nanda Putra</t>
  </si>
  <si>
    <t xml:space="preserve">opal.nanda@stih-adhyaksa.ac.id </t>
  </si>
  <si>
    <t>0030411380</t>
  </si>
  <si>
    <t>085368478790</t>
  </si>
  <si>
    <t>Tanggarasa</t>
  </si>
  <si>
    <t>Jln. Benteng</t>
  </si>
  <si>
    <t>Bandung Ujung</t>
  </si>
  <si>
    <t>Lubuklinggau Barat 1</t>
  </si>
  <si>
    <t>2230122066</t>
  </si>
  <si>
    <t>Adam Dwi Kambela</t>
  </si>
  <si>
    <t>adam.kambela@stih-adhyaksa.ac.id</t>
  </si>
  <si>
    <t xml:space="preserve"> 1611211030</t>
  </si>
  <si>
    <t xml:space="preserve"> 085268859533</t>
  </si>
  <si>
    <t>Argamakmur</t>
  </si>
  <si>
    <t>Jln. Semarak 8</t>
  </si>
  <si>
    <t>Bentiring Permai</t>
  </si>
  <si>
    <t>LOMPIO</t>
  </si>
  <si>
    <t>Muara Bangkahulu</t>
  </si>
  <si>
    <t>2230122067</t>
  </si>
  <si>
    <t>Muhammad Hidayat</t>
  </si>
  <si>
    <t>muh.hidayat@stih-adhyaksa.ac.id</t>
  </si>
  <si>
    <t>9971289627</t>
  </si>
  <si>
    <t>085381537880</t>
  </si>
  <si>
    <t>Manna</t>
  </si>
  <si>
    <t>Jln. Merdeka No. 55</t>
  </si>
  <si>
    <t>Lubuk Lintang</t>
  </si>
  <si>
    <t>Seluma</t>
  </si>
  <si>
    <t>2230122068</t>
  </si>
  <si>
    <t>Phedro Andreano</t>
  </si>
  <si>
    <t xml:space="preserve">phedro@stih-adhyaksa.ac.id </t>
  </si>
  <si>
    <t>0031038505</t>
  </si>
  <si>
    <t>081389930421</t>
  </si>
  <si>
    <t>Padang Panjang</t>
  </si>
  <si>
    <t>Jln. Lapan No.05</t>
  </si>
  <si>
    <t>Pekayon</t>
  </si>
  <si>
    <t>Pasar Rebo</t>
  </si>
  <si>
    <t>2230122069</t>
  </si>
  <si>
    <t>Javon Emily Maniagasi</t>
  </si>
  <si>
    <t>javon.emily@stih-adhyaksa.ac.id</t>
  </si>
  <si>
    <t>0052352142</t>
  </si>
  <si>
    <t>082194753524</t>
  </si>
  <si>
    <t>Jayapura</t>
  </si>
  <si>
    <t>Jln. Hamadi angkatan laut</t>
  </si>
  <si>
    <t>Hamadi</t>
  </si>
  <si>
    <t>Jayapura selatan</t>
  </si>
  <si>
    <t>2230122070</t>
  </si>
  <si>
    <t>Muhammad Kelvin Lastoro</t>
  </si>
  <si>
    <t>kelvin.lastoro@stih-adhyaksa.ac.id</t>
  </si>
  <si>
    <t>0035447762</t>
  </si>
  <si>
    <t>082390808368</t>
  </si>
  <si>
    <t>Tembilahan</t>
  </si>
  <si>
    <t>Jln. Lintas Samudera</t>
  </si>
  <si>
    <t>Pengalihan</t>
  </si>
  <si>
    <t>Keritang</t>
  </si>
  <si>
    <t>2230122071</t>
  </si>
  <si>
    <t>Diemas Kresna Duta</t>
  </si>
  <si>
    <t>diemas.duta@stih-adhyaksa.ac.id</t>
  </si>
  <si>
    <t>0001710</t>
  </si>
  <si>
    <t>08125053100</t>
  </si>
  <si>
    <t>Jln. H.A. Wahid</t>
  </si>
  <si>
    <t>Jati Padang</t>
  </si>
  <si>
    <t>Amanda Dwi Kusuma Arifia</t>
  </si>
  <si>
    <t>amanda.dwi@stih-adhyaksa.ac.id</t>
  </si>
  <si>
    <t>0058110769</t>
  </si>
  <si>
    <t>082110793979</t>
  </si>
  <si>
    <t>Jl. Industri 2 Cobodas Cempaka Cimahi Selatan</t>
  </si>
  <si>
    <t>Cibodas Cempaka</t>
  </si>
  <si>
    <t>Utama</t>
  </si>
  <si>
    <t>Cimahi Selatan</t>
  </si>
  <si>
    <t>Kenneth Brian Hattu</t>
  </si>
  <si>
    <t>kenneth.brian@stih-adhyaksa.ac.id</t>
  </si>
  <si>
    <t>0051951084</t>
  </si>
  <si>
    <t>081717711951</t>
  </si>
  <si>
    <t>JL. H. Sajim NO.22, RT/RW 015/02, Kel. Gandaria Utara</t>
  </si>
  <si>
    <t xml:space="preserve">Gandaria Utara </t>
  </si>
  <si>
    <t>Gandaria Utara</t>
  </si>
  <si>
    <t>Kebayoran Baru</t>
  </si>
  <si>
    <t>12140</t>
  </si>
  <si>
    <t>Muhammad Dhiftasa Maulana</t>
  </si>
  <si>
    <t>muhammad.dhiftasa@stih-adhyaksa.ac.id</t>
  </si>
  <si>
    <t>0057121406</t>
  </si>
  <si>
    <t>085352330645</t>
  </si>
  <si>
    <t>Kandangan</t>
  </si>
  <si>
    <t>Perum Taman Aster 2 No.7 Dusun Pengkolan Ciamis</t>
  </si>
  <si>
    <t>019</t>
  </si>
  <si>
    <t xml:space="preserve">Pengkolan </t>
  </si>
  <si>
    <t>Sindangkasih</t>
  </si>
  <si>
    <t>Neyla Julieta Manurung</t>
  </si>
  <si>
    <t>neyla.manurung@stih-adhyaksa.ac.id</t>
  </si>
  <si>
    <t>0055879581</t>
  </si>
  <si>
    <t>08111777765</t>
  </si>
  <si>
    <t>Jl. Kruing No. 30 C Perum Beringin Indah</t>
  </si>
  <si>
    <t>Sidomulyo Timur</t>
  </si>
  <si>
    <t>Marpoyan Damai</t>
  </si>
  <si>
    <t>Rachel Costa Monica Ansanay</t>
  </si>
  <si>
    <t>rachel.monica@stih-adhyaksa.ac.id</t>
  </si>
  <si>
    <t>0053204360</t>
  </si>
  <si>
    <t>081340393880</t>
  </si>
  <si>
    <t>Gg Jati II.No.82 Perumnas II</t>
  </si>
  <si>
    <t>Yabansai</t>
  </si>
  <si>
    <t>Yabansari</t>
  </si>
  <si>
    <t>Heram</t>
  </si>
  <si>
    <t>Sarah Jihan</t>
  </si>
  <si>
    <t>sarah.jihan@stih-adhyaksa.ac.id</t>
  </si>
  <si>
    <t>3044526694</t>
  </si>
  <si>
    <t>081363113736</t>
  </si>
  <si>
    <t>Jl. Jendral Sudirman Langgini Bangkinang Kota</t>
  </si>
  <si>
    <t>Langgini</t>
  </si>
  <si>
    <t>Bangkinang Kota</t>
  </si>
  <si>
    <t>Amelia</t>
  </si>
  <si>
    <t>amelia@stih-adhyaksa.ac.id</t>
  </si>
  <si>
    <t>0058251495</t>
  </si>
  <si>
    <t>085695669429</t>
  </si>
  <si>
    <t>Kp. Cimatis Jatikarya Jatisampurna Bekasi</t>
  </si>
  <si>
    <t>Cimatis</t>
  </si>
  <si>
    <t>Jatikarya</t>
  </si>
  <si>
    <t>Jatisampurna</t>
  </si>
  <si>
    <t>Athallah Fattah Putra</t>
  </si>
  <si>
    <t>athallah.putra@stih-adhyaksa.ac.id</t>
  </si>
  <si>
    <t>0055584092</t>
  </si>
  <si>
    <t>087897189507</t>
  </si>
  <si>
    <t>Komp. Polri Jl. A Blok D 4/3 Ragunan Pasar Minggu</t>
  </si>
  <si>
    <t>Komp. Polri</t>
  </si>
  <si>
    <t>Bintang Arya Putra</t>
  </si>
  <si>
    <t>bintang.arya@stih-adhyaksa.ac.id</t>
  </si>
  <si>
    <t>0052534993</t>
  </si>
  <si>
    <t>0895332304593</t>
  </si>
  <si>
    <t>Jl. Lombok No.123 Kel.Jatirasa Kec.Jatiasih Bekasi</t>
  </si>
  <si>
    <t>Kp. Pondok Benda</t>
  </si>
  <si>
    <t>Jatirasa</t>
  </si>
  <si>
    <t>Diva Dennala Pasyah</t>
  </si>
  <si>
    <t>diva.pasyah@stih-adhyaksa.ac.id</t>
  </si>
  <si>
    <t>0003513368</t>
  </si>
  <si>
    <t>085770920789</t>
  </si>
  <si>
    <t>Jl. Kebagusan Besar 3 No.15</t>
  </si>
  <si>
    <t>Kebagusan</t>
  </si>
  <si>
    <t>Farrel Ardan Biantoro</t>
  </si>
  <si>
    <t>farrel.biantoro@stih-adhyaksa.ac.id</t>
  </si>
  <si>
    <t>0050311800</t>
  </si>
  <si>
    <t>081382141582</t>
  </si>
  <si>
    <t>Jl. Kresno No. 80 Dirg. 1 Hlaim Perdana Kusuma</t>
  </si>
  <si>
    <t>Halim Perdana Kusuma</t>
  </si>
  <si>
    <t xml:space="preserve">Halim Perdana Kusuma </t>
  </si>
  <si>
    <t>Haikal Mappaewa</t>
  </si>
  <si>
    <t>haikal.mappewa@stih-adhyaksa.ac.id</t>
  </si>
  <si>
    <t>0050898849</t>
  </si>
  <si>
    <t>081287826123</t>
  </si>
  <si>
    <t>Jl. Al-Hidayah No. 100 Kel. Jati Keramat Kec. Jatiasih</t>
  </si>
  <si>
    <t>Al- Hidayah</t>
  </si>
  <si>
    <t>Jati Keramat</t>
  </si>
  <si>
    <t>Jati Asih</t>
  </si>
  <si>
    <t>Jihanaifah Islami Salsabila</t>
  </si>
  <si>
    <t>jihan.salsabila@stih-adhyaksa.ac.id</t>
  </si>
  <si>
    <t>3051680242</t>
  </si>
  <si>
    <t>081260450561</t>
  </si>
  <si>
    <t>Pangkalan Kerinci</t>
  </si>
  <si>
    <t>Jl. Kartini No.14 Bakinang Kampar</t>
  </si>
  <si>
    <t>Sabriyana Tifani Simanungkalit</t>
  </si>
  <si>
    <t>sabriyana.simanungkalit@stih-adhyaksa.ac.id</t>
  </si>
  <si>
    <t>0058532133</t>
  </si>
  <si>
    <t>082218700070</t>
  </si>
  <si>
    <t>Desa Lembah Kuamang</t>
  </si>
  <si>
    <t>Ratu Kaila I Indah Pasir Putih Rimbo Tengah</t>
  </si>
  <si>
    <t>Pasir Putih</t>
  </si>
  <si>
    <t>Rimbo Tengah</t>
  </si>
  <si>
    <t>Saqia Balqis Fadina</t>
  </si>
  <si>
    <t>saqia.fadina@stih-adhyaksa.ac.id</t>
  </si>
  <si>
    <t>081902449312</t>
  </si>
  <si>
    <t>Tegal</t>
  </si>
  <si>
    <t>Jl. Kapuk Muara No. 12 Kel. Kapuk Muara Penjaringan</t>
  </si>
  <si>
    <t>Kapuk Muara</t>
  </si>
  <si>
    <t>Penjaringan</t>
  </si>
  <si>
    <t>Shania Rivane Ramadhani</t>
  </si>
  <si>
    <t>shania.ramadhani@stih-adhyaksa.ac.id</t>
  </si>
  <si>
    <t>0057611213</t>
  </si>
  <si>
    <t>08117452288</t>
  </si>
  <si>
    <t>Muara Bungo</t>
  </si>
  <si>
    <t>Jl. Sapat No.004 Pasir Putih Rimbo Tengah Bungo</t>
  </si>
  <si>
    <t>37214</t>
  </si>
  <si>
    <t>Sopiya Salwa Salsabila</t>
  </si>
  <si>
    <t>sopiya.salwa@stih-adhyaksa.ac.id</t>
  </si>
  <si>
    <t>0059112330</t>
  </si>
  <si>
    <t>083106003616</t>
  </si>
  <si>
    <t>Muaro Jambi</t>
  </si>
  <si>
    <t>Ds. Berkah Unit X Jl. Rukun No. 13</t>
  </si>
  <si>
    <t>Desa Berkah</t>
  </si>
  <si>
    <t>Berkah</t>
  </si>
  <si>
    <t>Sungai Bahar</t>
  </si>
  <si>
    <t>Tasya Rohana</t>
  </si>
  <si>
    <t>tasya.rohana@stih-adhyaksa.ac.id</t>
  </si>
  <si>
    <t>0067633821</t>
  </si>
  <si>
    <t>082235237835</t>
  </si>
  <si>
    <t>Purbalingga</t>
  </si>
  <si>
    <t>Ds. Cipaku Siwadas</t>
  </si>
  <si>
    <t>Siwadas</t>
  </si>
  <si>
    <t>Cipaku</t>
  </si>
  <si>
    <t>Mrebet</t>
  </si>
  <si>
    <t>Yohanes Putra Randa Labi</t>
  </si>
  <si>
    <t>yohanes.labi@stih-adhyaksa.ac.id</t>
  </si>
  <si>
    <t>0030356468</t>
  </si>
  <si>
    <t>082155113031</t>
  </si>
  <si>
    <t>Palu</t>
  </si>
  <si>
    <t>Jl. Marsma R. Iswahyudi Sepingan Balikpapan Selatan</t>
  </si>
  <si>
    <t>020</t>
  </si>
  <si>
    <t>Sepingan</t>
  </si>
  <si>
    <t>Balikpapan Selatan</t>
  </si>
  <si>
    <t>Gerald Axel Matthew Monoarfa</t>
  </si>
  <si>
    <t>gerald.axel@stih-adhyaksa.ac.id</t>
  </si>
  <si>
    <t>0042557741</t>
  </si>
  <si>
    <t>089519853589</t>
  </si>
  <si>
    <t>Jl. Adhyaksa VI/D41 RT003/005 Lebak Bulus Cilandak</t>
  </si>
  <si>
    <t>Ananda Desafa Putri</t>
  </si>
  <si>
    <t>anandaputri@stih-adhyaksa.ac.id</t>
  </si>
  <si>
    <t>0042240964</t>
  </si>
  <si>
    <t>088905317987</t>
  </si>
  <si>
    <t>Karawang</t>
  </si>
  <si>
    <t>Jatimulya II, Mekarjati Karawang Barat</t>
  </si>
  <si>
    <t>Mekarjati</t>
  </si>
  <si>
    <t>Karawang Barat</t>
  </si>
  <si>
    <t>Andini Ika Primaningrum</t>
  </si>
  <si>
    <t>andini.ika@stih-adhyaksa.ac.id</t>
  </si>
  <si>
    <t>0030750692</t>
  </si>
  <si>
    <t>087851117565</t>
  </si>
  <si>
    <t>Jl. Kemukus Gombong Kab. Kebumen</t>
  </si>
  <si>
    <t>Kemukus</t>
  </si>
  <si>
    <t>Gombong</t>
  </si>
  <si>
    <t>Ariel Giovanni Kambu</t>
  </si>
  <si>
    <t>ariel.kambu@stih-adhyaksa.ac.id</t>
  </si>
  <si>
    <t>0057285214</t>
  </si>
  <si>
    <t>082194931969</t>
  </si>
  <si>
    <t>Sorong</t>
  </si>
  <si>
    <t>Jl.Sele Be Solu Km.12 Perumahan Dokter No.5</t>
  </si>
  <si>
    <t>Klasaman</t>
  </si>
  <si>
    <t>Sorong Timur</t>
  </si>
  <si>
    <t>Arya Nugraha</t>
  </si>
  <si>
    <t>arya.nugraha@stih-adhyaksa.ac.id</t>
  </si>
  <si>
    <t>0052350216</t>
  </si>
  <si>
    <t>082211112527</t>
  </si>
  <si>
    <t>Permata Cimanggis, Cluster Safir, Cimpaeun Tapos Depok</t>
  </si>
  <si>
    <t>Cimpaeun</t>
  </si>
  <si>
    <t>Tapos</t>
  </si>
  <si>
    <t>Bintang Fairuz Firdaus</t>
  </si>
  <si>
    <t>bintang.firdaus@stih-adhyaksa.ac.id</t>
  </si>
  <si>
    <t>3050551218</t>
  </si>
  <si>
    <t>087827328366</t>
  </si>
  <si>
    <t>Pandeglang</t>
  </si>
  <si>
    <t>Kp. Jaha Jalan Sukamaju, Lauban Pandeglang Banten</t>
  </si>
  <si>
    <t>Sukamaju</t>
  </si>
  <si>
    <t>Labuan</t>
  </si>
  <si>
    <t>4226</t>
  </si>
  <si>
    <t>David Jafra Ravaneza</t>
  </si>
  <si>
    <t>david.ravaneza@stih-adhyaksa.ac.id</t>
  </si>
  <si>
    <t>0051991771</t>
  </si>
  <si>
    <t>085691835193</t>
  </si>
  <si>
    <t>Jl. Akasia Gg. H. Tablo Bungkel</t>
  </si>
  <si>
    <t>Pamulang</t>
  </si>
  <si>
    <t>Pamulang Timur</t>
  </si>
  <si>
    <t>Figo Fahmi</t>
  </si>
  <si>
    <t>figo.fahmi@stih-adhyaksa.ac.id</t>
  </si>
  <si>
    <t>0045574753</t>
  </si>
  <si>
    <t>0881025657738</t>
  </si>
  <si>
    <t>Jalan Nirbaya XIII</t>
  </si>
  <si>
    <t>Pinang Ranti</t>
  </si>
  <si>
    <t>Gina Rizki Amelia</t>
  </si>
  <si>
    <t>gina.amelia@stih-adhyaksa.ac.id</t>
  </si>
  <si>
    <t>081387133687</t>
  </si>
  <si>
    <t>Sukabumi</t>
  </si>
  <si>
    <t>Jl. KH. Abu Bakar Siddik</t>
  </si>
  <si>
    <t>Hani Qonitah</t>
  </si>
  <si>
    <t>hani.qonitah@stih-adhyaksa.ac.id</t>
  </si>
  <si>
    <t>0816744953</t>
  </si>
  <si>
    <t>Singkawang</t>
  </si>
  <si>
    <t>Jl. Haji Baneng No.4</t>
  </si>
  <si>
    <t>Dekat dari Rumah</t>
  </si>
  <si>
    <t>Kalisfan Sebastianus Sebo</t>
  </si>
  <si>
    <t>kalisfan.sebo@stih-adhyaksa.ac.id</t>
  </si>
  <si>
    <t>0050946000</t>
  </si>
  <si>
    <t>082114086432</t>
  </si>
  <si>
    <t>Semayoh</t>
  </si>
  <si>
    <t>Katholik</t>
  </si>
  <si>
    <t>Jl. Perum Mutiara Gading Timur 2 Blok M II No. 12</t>
  </si>
  <si>
    <t>029</t>
  </si>
  <si>
    <t>Mustika Jaya</t>
  </si>
  <si>
    <t>Laurence Rachel Patricia Tampubolon</t>
  </si>
  <si>
    <t>laurence.tampubolon@stih-adhyaksa.ac.id</t>
  </si>
  <si>
    <t>0049898019</t>
  </si>
  <si>
    <t>08999369838</t>
  </si>
  <si>
    <t>Gg. Irga 1 No.38</t>
  </si>
  <si>
    <t>Jaticempaka</t>
  </si>
  <si>
    <t>M Fajri Pratama</t>
  </si>
  <si>
    <t>fajri.pratama@stih-adhyaksa.ac.id</t>
  </si>
  <si>
    <t>0056520980</t>
  </si>
  <si>
    <t>081378669928</t>
  </si>
  <si>
    <t>Jl. Jendral Sudirman Indragiri Hilir</t>
  </si>
  <si>
    <t>Muh Alvin Swadana Z</t>
  </si>
  <si>
    <t>alvin.swadana@stih-adhyaksa.ac.id</t>
  </si>
  <si>
    <t>0045345952</t>
  </si>
  <si>
    <t>08111791512</t>
  </si>
  <si>
    <t>Jl. Bau Mangga No.2A</t>
  </si>
  <si>
    <t>Masale</t>
  </si>
  <si>
    <t>Panakkukang</t>
  </si>
  <si>
    <t>90251</t>
  </si>
  <si>
    <t>Muhammad Alifie Rahmanda</t>
  </si>
  <si>
    <t>alifie.rahmanda@stih-adhyaksa.ac.id</t>
  </si>
  <si>
    <t>0055034595</t>
  </si>
  <si>
    <t>081385663304</t>
  </si>
  <si>
    <t>Jln. Balai Rakyat No.48 Kp. Gempol Jak-Tim</t>
  </si>
  <si>
    <t>Kapung Gempol</t>
  </si>
  <si>
    <t>Cakung Timur</t>
  </si>
  <si>
    <t>Cakung</t>
  </si>
  <si>
    <t>Nita Yulia</t>
  </si>
  <si>
    <t>nita.yulia@stih-adhyaksa.ac.id</t>
  </si>
  <si>
    <t>0041911039</t>
  </si>
  <si>
    <t>085798132922</t>
  </si>
  <si>
    <t>Jl. Remaja No. 80 Ceger Cipayung</t>
  </si>
  <si>
    <t>Reza Gunawan</t>
  </si>
  <si>
    <t>reza.gunawan@stih-adhyaksa.ac.id</t>
  </si>
  <si>
    <t>0059302286</t>
  </si>
  <si>
    <t>085311036692</t>
  </si>
  <si>
    <t>Jl. Rambutan I/26 Pejaten Barat Pasar Minggu</t>
  </si>
  <si>
    <t>Pejaten</t>
  </si>
  <si>
    <t>12510</t>
  </si>
  <si>
    <t>Salvia Marsyanda Arizona</t>
  </si>
  <si>
    <t>salvia.arizona@stih-adhyaksa.ac.id</t>
  </si>
  <si>
    <t>0039029617</t>
  </si>
  <si>
    <t>081290158169</t>
  </si>
  <si>
    <t>Jl. Agung blok K no. 19 perum, Bukit Permai Sertak</t>
  </si>
  <si>
    <t>Cibubur</t>
  </si>
  <si>
    <t>Yanet Kristien Anugrah</t>
  </si>
  <si>
    <t>yanet.kristien@stih-adhyaksa.ac.id</t>
  </si>
  <si>
    <t>1011101100</t>
  </si>
  <si>
    <t>081322344005</t>
  </si>
  <si>
    <t>Jl. Terusan Pasir Koja Gg. Pesantren Dalam</t>
  </si>
  <si>
    <t>Jamika</t>
  </si>
  <si>
    <t>Bojongloa Kaler</t>
  </si>
  <si>
    <t>Cordova Baginda Bajuri Harun</t>
  </si>
  <si>
    <t>cardova.baginda@stih-adhyaksa.ac.id</t>
  </si>
  <si>
    <t>082310934351</t>
  </si>
  <si>
    <t>Jombang</t>
  </si>
  <si>
    <t>Jl. Pertengahan Cijantung No.3 Cijantung Pasar Rebo</t>
  </si>
  <si>
    <t>013</t>
  </si>
  <si>
    <t>Cijantung</t>
  </si>
  <si>
    <t>Mohamad Rizqi Apani</t>
  </si>
  <si>
    <t>mohamad.apani@stih-adhyaksa.ac.id</t>
  </si>
  <si>
    <t>0036430785</t>
  </si>
  <si>
    <t>081774158086</t>
  </si>
  <si>
    <t>Komp. TNI AL Cakrawala II Blok E No.1</t>
  </si>
  <si>
    <t>017</t>
  </si>
  <si>
    <t>Lagoa</t>
  </si>
  <si>
    <t>Koja</t>
  </si>
  <si>
    <t>Muhammad Azka Adilah</t>
  </si>
  <si>
    <t>azka.adilah@stih-adhyaksa.ac.id</t>
  </si>
  <si>
    <t>0045010551</t>
  </si>
  <si>
    <t>081214225969</t>
  </si>
  <si>
    <t>Banjarmasin</t>
  </si>
  <si>
    <t>Jl. Provinsi Km. 2,5 Penajam Parser Utara</t>
  </si>
  <si>
    <t>Penajam Parser Utara</t>
  </si>
  <si>
    <t>Penajam</t>
  </si>
  <si>
    <t>Tri Adi Saputra</t>
  </si>
  <si>
    <t>tri.adi@stih-adhyaksa.ac.id</t>
  </si>
  <si>
    <t>0010814100</t>
  </si>
  <si>
    <t>085888142164</t>
  </si>
  <si>
    <t>Jl. Warakas IV Gg 15 No. 41 RT 008 / RW 013 Kel/Desa Warakas Kec. Tanjung Priok</t>
  </si>
  <si>
    <t>Warakas</t>
  </si>
  <si>
    <t>Tanjung Priok</t>
  </si>
  <si>
    <t>Imam Rozikin</t>
  </si>
  <si>
    <t>imam.rozikin@stih-adhyaksa.ac.id</t>
  </si>
  <si>
    <t>0130892996</t>
  </si>
  <si>
    <t>0811425999</t>
  </si>
  <si>
    <t>Blitar</t>
  </si>
  <si>
    <t>Jl. Mandala No. 6 - K RT 003/RW 013 Kel/Desa Halim Perdana Kusumah Kec. Makasar</t>
  </si>
  <si>
    <t>Halim Perdana Kusumah</t>
  </si>
  <si>
    <t>Safriani</t>
  </si>
  <si>
    <t>safriani@stih-adhyaksa.ac.id</t>
  </si>
  <si>
    <t>0003827652</t>
  </si>
  <si>
    <t>081945471807</t>
  </si>
  <si>
    <t>Batu Raja</t>
  </si>
  <si>
    <t>Jl. Kandis Ujung RT 001/ RW 010, Kel/Desa Tangkerang Utara Kec. Bukit Raya</t>
  </si>
  <si>
    <t>Tangkerang Utara</t>
  </si>
  <si>
    <t>Bukit Raya</t>
  </si>
  <si>
    <t>Sifak Ardhiansyah</t>
  </si>
  <si>
    <t>sifak.ardhiansyah@stih-adhyaksa.ac.id</t>
  </si>
  <si>
    <t>081266259967</t>
  </si>
  <si>
    <t>Kediri</t>
  </si>
  <si>
    <t>Desa Fagudu RT 004/ RW 002 Kec. Sanana</t>
  </si>
  <si>
    <t>Desa Fagudu</t>
  </si>
  <si>
    <t>Sanana</t>
  </si>
  <si>
    <t>Abdullah Umar Syuhada </t>
  </si>
  <si>
    <t>abdullah.syuhada@stih-adhyaksa.ac.id</t>
  </si>
  <si>
    <t>3067435150</t>
  </si>
  <si>
    <t>083874483656</t>
  </si>
  <si>
    <t>Jl. Asri I, Pondok Ranggon, No. 63</t>
  </si>
  <si>
    <t>Pondok Ranggon</t>
  </si>
  <si>
    <t>Agung Gani Putra</t>
  </si>
  <si>
    <t>agung.putra@stih-adhyaksa.ac.id</t>
  </si>
  <si>
    <t>0009274450</t>
  </si>
  <si>
    <t>081249725679</t>
  </si>
  <si>
    <t>Surabaya</t>
  </si>
  <si>
    <t>Taman Pondok Legi III Blok. V 11</t>
  </si>
  <si>
    <t>Pepelegi</t>
  </si>
  <si>
    <t>Waru</t>
  </si>
  <si>
    <t>Assykal Harbiantoro</t>
  </si>
  <si>
    <t>assykal.harbiantoro@stih-adhyaksa.ac.id</t>
  </si>
  <si>
    <t>0067589367</t>
  </si>
  <si>
    <t>089637111106</t>
  </si>
  <si>
    <t>Kp Perigi RT 005 / RW 007 Bedahan Sawangan</t>
  </si>
  <si>
    <t>Bedahan</t>
  </si>
  <si>
    <t>Sawangan</t>
  </si>
  <si>
    <t>Daffa Ardiansjah Siregar</t>
  </si>
  <si>
    <t>daffa.siregar@stih-adhyaksa.ac.id</t>
  </si>
  <si>
    <t>0061365594</t>
  </si>
  <si>
    <t>089604337440</t>
  </si>
  <si>
    <t>Jl. Panca Warga III GG. 36</t>
  </si>
  <si>
    <t>Cipinang Besar Selatan</t>
  </si>
  <si>
    <t>Desta Justin Rudi Malawat</t>
  </si>
  <si>
    <t>desta.malawat@stih-adhyaksa.ac.id</t>
  </si>
  <si>
    <t>0056024216</t>
  </si>
  <si>
    <t>081389186614</t>
  </si>
  <si>
    <t>Jl. Kramat Pulo Dalam II GG.17</t>
  </si>
  <si>
    <t>Kramat</t>
  </si>
  <si>
    <t>Senen</t>
  </si>
  <si>
    <t>Dharma Ravansyah</t>
  </si>
  <si>
    <t>dharma.ravansyah@stih-adhyaksa.ac.id</t>
  </si>
  <si>
    <t>0055690093</t>
  </si>
  <si>
    <t>087860445888</t>
  </si>
  <si>
    <t>Kp. Cicadas RT 001 RW 005</t>
  </si>
  <si>
    <t xml:space="preserve">Cicadas </t>
  </si>
  <si>
    <t>Cicadas</t>
  </si>
  <si>
    <t>Dhea Olivia</t>
  </si>
  <si>
    <t>dhea.olivia@stih-adhyaksa.ac.id</t>
  </si>
  <si>
    <t>0068727415</t>
  </si>
  <si>
    <t>0818218907</t>
  </si>
  <si>
    <t>Jl. Rajawali Mas II B 8/20</t>
  </si>
  <si>
    <t>Tanjung Barat</t>
  </si>
  <si>
    <t>Jagakarsa</t>
  </si>
  <si>
    <t>Dimitryus Alexas Arjuna Tambunan</t>
  </si>
  <si>
    <t>dimitryus.tambunan@stih-adhyaksa.ac.id</t>
  </si>
  <si>
    <t>0063673211</t>
  </si>
  <si>
    <t>087721312408</t>
  </si>
  <si>
    <t xml:space="preserve">Jl. Dermaga Blok F.10 No.6 </t>
  </si>
  <si>
    <t>Klender</t>
  </si>
  <si>
    <t>Duren Sawit</t>
  </si>
  <si>
    <t>Dinda Rizki</t>
  </si>
  <si>
    <t>dinda.rizki@stih-adhyaksa.ac.id</t>
  </si>
  <si>
    <t>0059723421</t>
  </si>
  <si>
    <t>082183876005</t>
  </si>
  <si>
    <t>Jl. Kavling DKI I No. 4 A</t>
  </si>
  <si>
    <t>Farrel Fauzan Perdana Putra</t>
  </si>
  <si>
    <t>farrel.putra@stih-adhyaksa.ac.id</t>
  </si>
  <si>
    <t>0062362964</t>
  </si>
  <si>
    <t>081250053376</t>
  </si>
  <si>
    <t>Inkopol Jl Garuda II B No. 22</t>
  </si>
  <si>
    <t>Jaka Sampurna</t>
  </si>
  <si>
    <t>Bekasi Barat</t>
  </si>
  <si>
    <t>Grick David Kastanya</t>
  </si>
  <si>
    <t>grick@stih-adhyaksa.ac.id</t>
  </si>
  <si>
    <t>0057382843</t>
  </si>
  <si>
    <t>081349352558</t>
  </si>
  <si>
    <t>Rusun Dakota 13A/501</t>
  </si>
  <si>
    <t>Kebon Kosong</t>
  </si>
  <si>
    <t>Kemayoran</t>
  </si>
  <si>
    <t>Kurdi</t>
  </si>
  <si>
    <t>kurdi@stih-adhyaksa.ac.id</t>
  </si>
  <si>
    <t>08116806900</t>
  </si>
  <si>
    <t>Meulaboh</t>
  </si>
  <si>
    <t>Jl. Kebon Raja II No. 1</t>
  </si>
  <si>
    <t>000</t>
  </si>
  <si>
    <t>Ie Masen Kayee Adang</t>
  </si>
  <si>
    <t>Syiah Kuala</t>
  </si>
  <si>
    <t>Lintang Nazwa Nabila</t>
  </si>
  <si>
    <t>lintang.nabila@stih-adhyaksa.ac.id</t>
  </si>
  <si>
    <t>0040550446</t>
  </si>
  <si>
    <t>081317760205</t>
  </si>
  <si>
    <t xml:space="preserve">Jl. Raya Kiwi Ciracas </t>
  </si>
  <si>
    <t>Mithwa Muhammadan Baihaki</t>
  </si>
  <si>
    <t>mithwa.baihaki@stih-adhyaksa.ac.id</t>
  </si>
  <si>
    <t>0053151382</t>
  </si>
  <si>
    <t>081398454703</t>
  </si>
  <si>
    <t>Kp Cangkudu</t>
  </si>
  <si>
    <t>Cangkudu</t>
  </si>
  <si>
    <t>Balaraja</t>
  </si>
  <si>
    <t>Muammar Khadafi Yahya</t>
  </si>
  <si>
    <t>muammar.yahya@stih-adhyaksa.ac.id</t>
  </si>
  <si>
    <t>0056719621</t>
  </si>
  <si>
    <t>089646376818</t>
  </si>
  <si>
    <t xml:space="preserve">Jln. Keselamatan No 439 A </t>
  </si>
  <si>
    <t>Manggarai Selatan</t>
  </si>
  <si>
    <t>Tebet</t>
  </si>
  <si>
    <t>Muhammad Farhan Radhitya</t>
  </si>
  <si>
    <t>muhammad.radhitya@stih-adhyaksa.ac.id</t>
  </si>
  <si>
    <t>0063622186</t>
  </si>
  <si>
    <t>081317388626</t>
  </si>
  <si>
    <t>Mutiara Gading Timur B2/47 48</t>
  </si>
  <si>
    <t>031</t>
  </si>
  <si>
    <t xml:space="preserve">Mustika Jaya </t>
  </si>
  <si>
    <t>Muhammad Haikal Adha</t>
  </si>
  <si>
    <t>muhammad.adha@stih-adhyaksa.ac.id</t>
  </si>
  <si>
    <t>0053701724</t>
  </si>
  <si>
    <t>081336456060</t>
  </si>
  <si>
    <t>Jl. Swadaya IV</t>
  </si>
  <si>
    <t xml:space="preserve">Rawa Bunga </t>
  </si>
  <si>
    <t>Rawa Bunga</t>
  </si>
  <si>
    <t>Muhamad Rizki Dharmawan</t>
  </si>
  <si>
    <t>muhamad.dharmawan@stih-adhyaksa.ac.id</t>
  </si>
  <si>
    <t>9981177828</t>
  </si>
  <si>
    <t>081113803026</t>
  </si>
  <si>
    <t>Jl. Kartini No.58</t>
  </si>
  <si>
    <t>Pancoran Mas</t>
  </si>
  <si>
    <t>Ni Made Rosita Emunds</t>
  </si>
  <si>
    <t>nimade.emunds@stih-adhyaksa.ac.id</t>
  </si>
  <si>
    <t>081291019126</t>
  </si>
  <si>
    <t>Bergisch Gladbach</t>
  </si>
  <si>
    <t>Br.Kalah</t>
  </si>
  <si>
    <t>Peliatan</t>
  </si>
  <si>
    <t>Ubud</t>
  </si>
  <si>
    <t>Nur Ayudia Hasanah</t>
  </si>
  <si>
    <t>nur.hasanah@stih-adhyaksa.ac.id</t>
  </si>
  <si>
    <t>0068861001</t>
  </si>
  <si>
    <t>081436152422</t>
  </si>
  <si>
    <t>Kuta Batu 1</t>
  </si>
  <si>
    <t>Kuta Batu I</t>
  </si>
  <si>
    <t xml:space="preserve">Lawe Alas </t>
  </si>
  <si>
    <t>Putrie Dealova Deenar Pratiwi</t>
  </si>
  <si>
    <t>putrie.pratiwi@stih-adhyaksa.ac.id</t>
  </si>
  <si>
    <t>0064011749</t>
  </si>
  <si>
    <t>082249805481</t>
  </si>
  <si>
    <t>Kp. Rambutan</t>
  </si>
  <si>
    <t>Rambutan</t>
  </si>
  <si>
    <t>Putri Nabila</t>
  </si>
  <si>
    <t>putri.nabila@stih-adhyaksa.ac.id</t>
  </si>
  <si>
    <t>0068764811</t>
  </si>
  <si>
    <t>Jl. Jembatan Lama No.78</t>
  </si>
  <si>
    <t>Qahrema Ikram</t>
  </si>
  <si>
    <t>qahrema.ikram@stih-adhyaksa.ac.id</t>
  </si>
  <si>
    <t>0051327862</t>
  </si>
  <si>
    <t>081266982120</t>
  </si>
  <si>
    <t xml:space="preserve">Jl. Datuk Tabano GG. Anshar </t>
  </si>
  <si>
    <t>Kakak Kelas di Sekolah (Kakak Tingkat)</t>
  </si>
  <si>
    <t>R.A.P Putri Salwa Salsabila Dewanto</t>
  </si>
  <si>
    <t>putri.salwa@stih-adhyaksa.ac.id</t>
  </si>
  <si>
    <t>0059790081</t>
  </si>
  <si>
    <t>085882845880</t>
  </si>
  <si>
    <t xml:space="preserve">Jl. Pangrango II No. 115 D </t>
  </si>
  <si>
    <t>Kayuringinjaya</t>
  </si>
  <si>
    <t>Bekasi Selatan</t>
  </si>
  <si>
    <t>Ranti Purnama Lisa</t>
  </si>
  <si>
    <t>ranti.lisa@stih-adhyaksa.ac.id</t>
  </si>
  <si>
    <t>085263963063</t>
  </si>
  <si>
    <t>Perum Mutiara Puri Harmoni 3 Blok I No.6</t>
  </si>
  <si>
    <t>Jayamulya</t>
  </si>
  <si>
    <t>Serang Baru</t>
  </si>
  <si>
    <t>Rizki Satria Sandiyudha</t>
  </si>
  <si>
    <t>rizki.sandiyudha@stih-adhyaksa.ac.id</t>
  </si>
  <si>
    <t>0049287648</t>
  </si>
  <si>
    <t>089514531783</t>
  </si>
  <si>
    <t>Jl. Widelia II Blok AIE.1 No.10/11</t>
  </si>
  <si>
    <t>Margasari</t>
  </si>
  <si>
    <t>Tigaraksa</t>
  </si>
  <si>
    <t>Salsabiila Safitri Ramadhani</t>
  </si>
  <si>
    <t>salsabiila.ramadhani@stih-adhyaksa.ac.id</t>
  </si>
  <si>
    <t>3057014730</t>
  </si>
  <si>
    <t>085212198388</t>
  </si>
  <si>
    <t>Kalibata Timur</t>
  </si>
  <si>
    <t>Kalibata</t>
  </si>
  <si>
    <t>Syah Alya Wijaya</t>
  </si>
  <si>
    <t>syah.wijaya@stih-adhyaksa.ac.id</t>
  </si>
  <si>
    <t>0059155366</t>
  </si>
  <si>
    <t>085718485492</t>
  </si>
  <si>
    <t>Kp. Pisangan Bulak</t>
  </si>
  <si>
    <t>Penggilingan</t>
  </si>
  <si>
    <t>Zahra Febrianti</t>
  </si>
  <si>
    <t>zahra.febrianti@stih-adhyaksa.ac.id</t>
  </si>
  <si>
    <t>0052920691</t>
  </si>
  <si>
    <t>087784333775</t>
  </si>
  <si>
    <t>Jl. Peninggaran Barat II/139</t>
  </si>
  <si>
    <t>Kebayoran Lama Utara</t>
  </si>
  <si>
    <t>Zul Karnen</t>
  </si>
  <si>
    <t>zulkarnen@stih-adhyaksa.ac.id</t>
  </si>
  <si>
    <t>0549467</t>
  </si>
  <si>
    <t>081281756900</t>
  </si>
  <si>
    <t xml:space="preserve">Jl. Kayu Manis Timur No. 23 </t>
  </si>
  <si>
    <t>Utan Kayu Utara</t>
  </si>
  <si>
    <t>Matraman</t>
  </si>
  <si>
    <t>Aisyah Ghanniyyah Inas</t>
  </si>
  <si>
    <t>aisyah.ghanniyyah@stih-adhyaksa.ac.id</t>
  </si>
  <si>
    <t>0063056548</t>
  </si>
  <si>
    <t>085384392606</t>
  </si>
  <si>
    <t>Bandar Lampung</t>
  </si>
  <si>
    <t>Jl. Garuda II Blok A E 10</t>
  </si>
  <si>
    <t>071</t>
  </si>
  <si>
    <t>018</t>
  </si>
  <si>
    <t>Anastasya Putrian Khaira</t>
  </si>
  <si>
    <t>anastasya.khaira@stih-adhyaksa.ac.id </t>
  </si>
  <si>
    <t>0051576787</t>
  </si>
  <si>
    <t>081384814599</t>
  </si>
  <si>
    <t>Kp. Setu No.12</t>
  </si>
  <si>
    <t>Ciganjur</t>
  </si>
  <si>
    <t>Baiq Harisa Andini</t>
  </si>
  <si>
    <t>baiq.andini@stih-adhyaksa.ac.id</t>
  </si>
  <si>
    <t>0033869887</t>
  </si>
  <si>
    <t>085926293733</t>
  </si>
  <si>
    <t>Dompu</t>
  </si>
  <si>
    <t>Salang</t>
  </si>
  <si>
    <t>Terara</t>
  </si>
  <si>
    <t>Bestari Kartika Putri</t>
  </si>
  <si>
    <t>bestari.putri@stih-adhyaksa.ac.id</t>
  </si>
  <si>
    <t>0066277123</t>
  </si>
  <si>
    <t>087709867898</t>
  </si>
  <si>
    <t>Jl. Gunung Gede 4 No. 162</t>
  </si>
  <si>
    <t>Darren Putra Dahana</t>
  </si>
  <si>
    <t>darren.dahana@stih-adhyaksa.ac.id</t>
  </si>
  <si>
    <t>0069436147</t>
  </si>
  <si>
    <t>082145128686</t>
  </si>
  <si>
    <t>Budha</t>
  </si>
  <si>
    <t>Ruko Mutiara Taman Palem Blok 85/25</t>
  </si>
  <si>
    <t>Cengkareng Timur</t>
  </si>
  <si>
    <t xml:space="preserve">Cengkareng </t>
  </si>
  <si>
    <t>Diaz Alif Cahya</t>
  </si>
  <si>
    <t>emanuel.ajoi@stih-adhyaksa.ac.id</t>
  </si>
  <si>
    <t>085718372604</t>
  </si>
  <si>
    <t>Rusun Flamboyan C LT 3/321</t>
  </si>
  <si>
    <t>Cengkareng Barat</t>
  </si>
  <si>
    <t>Evita Nurhidayah </t>
  </si>
  <si>
    <t>diaz.cahya@stih-adhyaksa.ac.id</t>
  </si>
  <si>
    <t>0051483805</t>
  </si>
  <si>
    <t>085776220514</t>
  </si>
  <si>
    <t xml:space="preserve">Jakarta </t>
  </si>
  <si>
    <t>Kp. Bahari GG V/78</t>
  </si>
  <si>
    <t>Greggi Ghufron Advando Maulana</t>
  </si>
  <si>
    <t>evita.nurhidayah@stih-adhyaksa.ac.id</t>
  </si>
  <si>
    <t>0002317903</t>
  </si>
  <si>
    <t>087825521881</t>
  </si>
  <si>
    <t>Bantul</t>
  </si>
  <si>
    <t>Banyusumurup</t>
  </si>
  <si>
    <t>Girirejo</t>
  </si>
  <si>
    <t>Imogiri</t>
  </si>
  <si>
    <t>Ibnu Rizqi Suwondo</t>
  </si>
  <si>
    <t>greggi.maulana@stih-adhyaksa.ac.id</t>
  </si>
  <si>
    <t>0064178526</t>
  </si>
  <si>
    <t>085781582346</t>
  </si>
  <si>
    <t>Jl Ramitor</t>
  </si>
  <si>
    <t>Kerenhapukh Simbolon</t>
  </si>
  <si>
    <t>ibnu.suwondo@stih-adhyaksa.ac.id</t>
  </si>
  <si>
    <t>0066505943</t>
  </si>
  <si>
    <t>085668439409</t>
  </si>
  <si>
    <t>Sungai Penuh</t>
  </si>
  <si>
    <t>Jl. Kapten Patimura Perumahan Lotus No 7 Blok H</t>
  </si>
  <si>
    <t>069</t>
  </si>
  <si>
    <t>Kenali Besar</t>
  </si>
  <si>
    <t>Alam Barajo</t>
  </si>
  <si>
    <t>Khairul Umam Ganda Nusantara</t>
  </si>
  <si>
    <t>kerenhapukh.simbolon@stih-adhyaksa.ac.id</t>
  </si>
  <si>
    <t>085298268558</t>
  </si>
  <si>
    <t>Jl. Wulele BTN Taman Bonggoeya Lestari Blok B/6</t>
  </si>
  <si>
    <t xml:space="preserve">Bonggoeya </t>
  </si>
  <si>
    <t>Wua Wua</t>
  </si>
  <si>
    <t>Melani Ayu Viranantika</t>
  </si>
  <si>
    <t>khairul.umam@stih-adhyaksa.ac.id</t>
  </si>
  <si>
    <t>0053740039</t>
  </si>
  <si>
    <t>082140362005</t>
  </si>
  <si>
    <t>Ngawi</t>
  </si>
  <si>
    <t>Jakaran</t>
  </si>
  <si>
    <t>Jenggrik</t>
  </si>
  <si>
    <t>Kedunggalar</t>
  </si>
  <si>
    <t>Mochamad Surya Fadillah</t>
  </si>
  <si>
    <t>melani.viranantika@stih-adhyaksa.ac.id</t>
  </si>
  <si>
    <t>0003291651</t>
  </si>
  <si>
    <t>081281896265</t>
  </si>
  <si>
    <t>Jl. Kampung Sawah VI No. 92</t>
  </si>
  <si>
    <t>Krukut</t>
  </si>
  <si>
    <t>Limo</t>
  </si>
  <si>
    <t>Muhamad Sadam</t>
  </si>
  <si>
    <t>mochamad.fadillah@stih-adhyaksa.ac.id</t>
  </si>
  <si>
    <t>0013177567</t>
  </si>
  <si>
    <t>081936240953</t>
  </si>
  <si>
    <t xml:space="preserve">Jl. Rukun Ujung </t>
  </si>
  <si>
    <t>Pejaten Timur</t>
  </si>
  <si>
    <t>Ochi Via Parmadhea</t>
  </si>
  <si>
    <t>muhamad.sadam@stih-adhyaksa.ac.id</t>
  </si>
  <si>
    <t>0051326247</t>
  </si>
  <si>
    <t>082211075515</t>
  </si>
  <si>
    <t>Pagar Alam</t>
  </si>
  <si>
    <t>Kampung Purwosari</t>
  </si>
  <si>
    <t>Beringin Jaya</t>
  </si>
  <si>
    <t>Pagar Alam Utara</t>
  </si>
  <si>
    <t xml:space="preserve">Rafa Ibrahim Siregar </t>
  </si>
  <si>
    <t>rafa.siregar@stih-adhyaksa.ac.id</t>
  </si>
  <si>
    <t>0045571706</t>
  </si>
  <si>
    <t>0811922115</t>
  </si>
  <si>
    <t>Jl. Menteng Sukabumi</t>
  </si>
  <si>
    <t>Raihan Aqil Rinaldi</t>
  </si>
  <si>
    <t>raihan.rinaldi@stih-adhyaksa.ac.id</t>
  </si>
  <si>
    <t>0025993079</t>
  </si>
  <si>
    <t>081266543908</t>
  </si>
  <si>
    <t>Jl. Kartini No 14</t>
  </si>
  <si>
    <t>Ruhama Nur Azizah</t>
  </si>
  <si>
    <t>ruhama.azizah@stih-adhyaksa.ac.id</t>
  </si>
  <si>
    <t>0034815179</t>
  </si>
  <si>
    <t>087778000900</t>
  </si>
  <si>
    <t>Jl. Sosial</t>
  </si>
  <si>
    <t>Wijaya Kusuma</t>
  </si>
  <si>
    <t>Grogol Petamburan</t>
  </si>
  <si>
    <t>Tasya Berliana Chintia</t>
  </si>
  <si>
    <t>tasya.chintya@stih-adhyaksa.ac.id</t>
  </si>
  <si>
    <t>0061531737</t>
  </si>
  <si>
    <t>085777473529</t>
  </si>
  <si>
    <t>Jl. Pepaya VIII No. 21 C</t>
  </si>
  <si>
    <t>Abd Kadir</t>
  </si>
  <si>
    <t>abd.kadir@stih-adhyaksa.ac.id</t>
  </si>
  <si>
    <t>087864954052</t>
  </si>
  <si>
    <t xml:space="preserve">Sungguminasa </t>
  </si>
  <si>
    <t>Allattappampang</t>
  </si>
  <si>
    <t>Mangalli</t>
  </si>
  <si>
    <t>Pallangga</t>
  </si>
  <si>
    <t>Kakak Tingkat</t>
  </si>
  <si>
    <t>Indriani Sari</t>
  </si>
  <si>
    <t>indriani.sari@stih-adhyaksa.ac.id</t>
  </si>
  <si>
    <t>085931570362/085828453012</t>
  </si>
  <si>
    <t>Bontorea</t>
  </si>
  <si>
    <t>Muhammad Iqdam Haqkiki</t>
  </si>
  <si>
    <t>muhammad.haqkiki@stih-adhyaksa.ac.id</t>
  </si>
  <si>
    <t>0050612661</t>
  </si>
  <si>
    <t>087892008425</t>
  </si>
  <si>
    <t>Banyumas</t>
  </si>
  <si>
    <t>Sibalung</t>
  </si>
  <si>
    <t xml:space="preserve">Sibalung </t>
  </si>
  <si>
    <t xml:space="preserve">Kemranjen </t>
  </si>
  <si>
    <t>Nata Meilani</t>
  </si>
  <si>
    <t>nata.meilani@stih-adhyaksa.ac.id</t>
  </si>
  <si>
    <t>0042431282</t>
  </si>
  <si>
    <t>0895322434600</t>
  </si>
  <si>
    <t xml:space="preserve">Kp. Curug </t>
  </si>
  <si>
    <t>Pakansari</t>
  </si>
  <si>
    <t>Cibinong</t>
  </si>
  <si>
    <t>Nathania Trixie Masikome</t>
  </si>
  <si>
    <t>nathania.masikome@stih-adhyaksa.ac.id</t>
  </si>
  <si>
    <t>0067382911</t>
  </si>
  <si>
    <t>082299110016</t>
  </si>
  <si>
    <t>Manado</t>
  </si>
  <si>
    <t xml:space="preserve">Tikala Baru Lingkungan IV </t>
  </si>
  <si>
    <t>Tikala Baru</t>
  </si>
  <si>
    <t>Tikala</t>
  </si>
  <si>
    <t>Audy Nur Fauziyah</t>
  </si>
  <si>
    <t>audy.fauziyah@stih-adhyaksa.ac.id</t>
  </si>
  <si>
    <t>0069424875</t>
  </si>
  <si>
    <t>081296523391</t>
  </si>
  <si>
    <t>Jl. Kenanga V/53 Atsiri Perman</t>
  </si>
  <si>
    <t>Ragajaya</t>
  </si>
  <si>
    <t>Bojong Gede</t>
  </si>
  <si>
    <t>Dela Ayu Syafitri</t>
  </si>
  <si>
    <t>dela.syafitri@stih-adhyaksa.ac.id</t>
  </si>
  <si>
    <t>0051206829</t>
  </si>
  <si>
    <t>081287400090</t>
  </si>
  <si>
    <t>Pekalongan</t>
  </si>
  <si>
    <t>Jl. H Murtadho XV A 292</t>
  </si>
  <si>
    <t>Paseban</t>
  </si>
  <si>
    <t>Treingginas Al Misbakh Bajuri Harun</t>
  </si>
  <si>
    <t>treingginas.almisbakh@stih-adhyaksa.ac.id</t>
  </si>
  <si>
    <t>0069956492</t>
  </si>
  <si>
    <t>081382512503</t>
  </si>
  <si>
    <t>Zhahra Fazriyani</t>
  </si>
  <si>
    <t>zhahra.fazriyani@stih-adhyaksa.ac.id</t>
  </si>
  <si>
    <t>0062210115</t>
  </si>
  <si>
    <t>085892394892</t>
  </si>
  <si>
    <t>Jl. Ciherang</t>
  </si>
  <si>
    <t>Sukatani</t>
  </si>
  <si>
    <t>M Riski Winata</t>
  </si>
  <si>
    <t>riski.winata@stih-adhyaksa.ac.id</t>
  </si>
  <si>
    <t>0056345292</t>
  </si>
  <si>
    <t>081574757366</t>
  </si>
  <si>
    <t>Jl. Bhakti VII/6</t>
  </si>
  <si>
    <t>Kemanggisan</t>
  </si>
  <si>
    <t>Pal Merah</t>
  </si>
  <si>
    <t>Muhammad Putera Alim</t>
  </si>
  <si>
    <t>muhammad.alim@stih-adhyaksa.ac.id</t>
  </si>
  <si>
    <t>0063419676</t>
  </si>
  <si>
    <t>081212205237</t>
  </si>
  <si>
    <t>Pondok Mitra Lestari C9 No.7 Jatiasih</t>
  </si>
  <si>
    <t>Nabila Azzah Luthfiyyah</t>
  </si>
  <si>
    <t>nabila.luthfiyyah@stih-adhyaksa.ac.id</t>
  </si>
  <si>
    <t>0069011483</t>
  </si>
  <si>
    <t>0859166329282</t>
  </si>
  <si>
    <t>Gunungkidul</t>
  </si>
  <si>
    <t>Trowono A Karangasem, Paliyan</t>
  </si>
  <si>
    <t>Trowono A</t>
  </si>
  <si>
    <t>Karangasem</t>
  </si>
  <si>
    <t>Paliyan</t>
  </si>
  <si>
    <t>Ethan Abelardo Van Jonathan Tambunan</t>
  </si>
  <si>
    <t>ethan.tambunan@stih-adhyaksa.ac.id</t>
  </si>
  <si>
    <t>0061076716</t>
  </si>
  <si>
    <t>0881024603281</t>
  </si>
  <si>
    <t>Kristen</t>
  </si>
  <si>
    <t>Jl. Al Ikhlas No.76 Bambu Apus, Cipayung</t>
  </si>
  <si>
    <t>Ahmad Azhari Darmawel</t>
  </si>
  <si>
    <t>ahmad.darmawel@stih-adhyaksa.ac.id</t>
  </si>
  <si>
    <t>0039049320</t>
  </si>
  <si>
    <t>082375520400</t>
  </si>
  <si>
    <t>Jl. Siak Raya No 160</t>
  </si>
  <si>
    <t>Baktijaya</t>
  </si>
  <si>
    <t>Julia Rain Nada</t>
  </si>
  <si>
    <t>julia.nada@stih-adhyaksa.ac.id</t>
  </si>
  <si>
    <t>0040032221</t>
  </si>
  <si>
    <t>0895621829909</t>
  </si>
  <si>
    <t>Pagar Alam, Sumatera Selatan</t>
  </si>
  <si>
    <t>Jl. Kapten Sanap, Pagar Alam, Sumatera Selatan</t>
  </si>
  <si>
    <t>Jackayden Syaban Arsad</t>
  </si>
  <si>
    <t>jackayden.arsad@stih-adhyaksa.ac.id</t>
  </si>
  <si>
    <t>0077361289</t>
  </si>
  <si>
    <t>082112594241</t>
  </si>
  <si>
    <t>Jl. Cempaka XI BS, 10/26</t>
  </si>
  <si>
    <t>Chandra Adhi Nugraha</t>
  </si>
  <si>
    <t>chandra.nugraha@stih-adhyaksa.ac.id</t>
  </si>
  <si>
    <t>085155044755</t>
  </si>
  <si>
    <t>Kp. Pancoran Mas</t>
  </si>
  <si>
    <t>Emanuel Thobias Ajoi</t>
  </si>
  <si>
    <t>0065972862</t>
  </si>
  <si>
    <t>081248704645</t>
  </si>
  <si>
    <t>Biak</t>
  </si>
  <si>
    <t>Desa Swapodibo</t>
  </si>
  <si>
    <t>Swapodibo</t>
  </si>
  <si>
    <t>Biak Kota</t>
  </si>
  <si>
    <t>Saul Sergius Ronsumbre</t>
  </si>
  <si>
    <t>saul.ronsumbre@stih-adhyaksa.ac.id</t>
  </si>
  <si>
    <t>0068212766</t>
  </si>
  <si>
    <t>081240153069</t>
  </si>
  <si>
    <t>Waena</t>
  </si>
  <si>
    <t>Gg. Bobara II No 137</t>
  </si>
  <si>
    <t>Diva Prasetia</t>
  </si>
  <si>
    <t>diva.prasetia@stih-adhyaksa.ac.id</t>
  </si>
  <si>
    <t>0045094048</t>
  </si>
  <si>
    <t>Jl. Bambu Kuning Kp. Padurenan</t>
  </si>
  <si>
    <t>Jatiluhur</t>
  </si>
  <si>
    <t>Andreas Ginting</t>
  </si>
  <si>
    <t>andreas.ginting@stih-adhyaksa.ac.id</t>
  </si>
  <si>
    <t>081285352240</t>
  </si>
  <si>
    <t>Pinamg Ranti</t>
  </si>
  <si>
    <t>Muhamad Fadli Andriansyah</t>
  </si>
  <si>
    <t>fadli.mandriansyah@stih-adhyaksa.ac.id</t>
  </si>
  <si>
    <t>0016724851</t>
  </si>
  <si>
    <t>Kp. Tangkil</t>
  </si>
  <si>
    <t>Katulampa</t>
  </si>
  <si>
    <t>Bogor Timur</t>
  </si>
  <si>
    <t>Patri Ansiah Sinabutar</t>
  </si>
  <si>
    <t>patri.sinabutar@stih-adhyaksa.ac.id</t>
  </si>
  <si>
    <t>00247773354</t>
  </si>
  <si>
    <t>082397771603</t>
  </si>
  <si>
    <t>Simpang Marihat</t>
  </si>
  <si>
    <t>Khatolik</t>
  </si>
  <si>
    <t>Sosa Tariken</t>
  </si>
  <si>
    <t xml:space="preserve"> Sungai Kumango</t>
  </si>
  <si>
    <t>Tambusai</t>
  </si>
  <si>
    <t>Ravindra</t>
  </si>
  <si>
    <t>ravindra@stih-adhyaksa.ac.id</t>
  </si>
  <si>
    <t>0'091010348</t>
  </si>
  <si>
    <t>085817135783</t>
  </si>
  <si>
    <t>Buddha</t>
  </si>
  <si>
    <t>Babakan Cianjur</t>
  </si>
  <si>
    <t>Ngasari</t>
  </si>
  <si>
    <t>Wahyu Dwi Jatmiko</t>
  </si>
  <si>
    <t>wahyu.jatmiko@stih-adhyaksa.ac.id</t>
  </si>
  <si>
    <t>8401</t>
  </si>
  <si>
    <t>0811839672</t>
  </si>
  <si>
    <t>Jl. Kavling POLRI No 20, Jagakarsa</t>
  </si>
  <si>
    <t>Ratih Nur Sundari</t>
  </si>
  <si>
    <t>ratih.Sundari@stih-adhyaksa.ac.id</t>
  </si>
  <si>
    <t>0058227544</t>
  </si>
  <si>
    <t>082124376105</t>
  </si>
  <si>
    <t>Perum Bukjt Kratai Permai</t>
  </si>
  <si>
    <t xml:space="preserve"> 033</t>
  </si>
  <si>
    <t>Karya Indah</t>
  </si>
  <si>
    <t>Tapung</t>
  </si>
  <si>
    <t>Firly Laura Anjani</t>
  </si>
  <si>
    <t>firly.anjani@stih-adhyaksa.ac.id</t>
  </si>
  <si>
    <t>0031522974</t>
  </si>
  <si>
    <t>087741453045</t>
  </si>
  <si>
    <t>Jl. Kp. Rawa Sawah RT.012 / RW. 002 No. 30 Kec. / Kel. Johar Barn</t>
  </si>
  <si>
    <t>Johar Baru</t>
  </si>
  <si>
    <t>Bella Palentin</t>
  </si>
  <si>
    <t>bella.palentin@stih-adhyaksa.ac.id</t>
  </si>
  <si>
    <t>081210705786</t>
  </si>
  <si>
    <t>Desa Lawe Dua</t>
  </si>
  <si>
    <t>Lawe Dua Gabungan</t>
  </si>
  <si>
    <t>Bukit Tusam</t>
  </si>
  <si>
    <t>Dirgahayu Maha Restu</t>
  </si>
  <si>
    <t>dirgahayu.restu@stih-adhyaksa.ac.id</t>
  </si>
  <si>
    <t>08111213896</t>
  </si>
  <si>
    <t>Pangkalpinang</t>
  </si>
  <si>
    <t>Jl.Nila 3 No.110</t>
  </si>
  <si>
    <t>Rejosari</t>
  </si>
  <si>
    <t>Pangkal Balam</t>
  </si>
  <si>
    <t>Duta Valdye Nata Irawan</t>
  </si>
  <si>
    <t>duta.irawan@stih-adhyaksa.ac.id</t>
  </si>
  <si>
    <t>0045250850</t>
  </si>
  <si>
    <t>082185528839</t>
  </si>
  <si>
    <t>Segala Mider</t>
  </si>
  <si>
    <t>Gg. Pioner Dusun Candimas I</t>
  </si>
  <si>
    <t>Candi Mas</t>
  </si>
  <si>
    <t>Natar</t>
  </si>
  <si>
    <t>Yusri Nuryanto</t>
  </si>
  <si>
    <t>yusri.nuryanto@stih-adhyaksa.ac.id</t>
  </si>
  <si>
    <t>Situbondo</t>
  </si>
  <si>
    <t>Jl. Tongkeng No.36</t>
  </si>
  <si>
    <t>Merdeka</t>
  </si>
  <si>
    <t>Sumur Bandung</t>
  </si>
  <si>
    <t>40113</t>
  </si>
  <si>
    <t>Erry Syamsu</t>
  </si>
  <si>
    <t>erry.syamsu@stih-adhyaksa.ac.id</t>
  </si>
  <si>
    <t>081936059998</t>
  </si>
  <si>
    <t>APT Pavilion TWR 1-1202 Jl.KH. Mas Mansyur Kav 2</t>
  </si>
  <si>
    <t>Karet Tengsin</t>
  </si>
  <si>
    <t>Tanah Abang</t>
  </si>
  <si>
    <t>10220</t>
  </si>
  <si>
    <t>Daniel Perwata</t>
  </si>
  <si>
    <t>daniel.perwata@stih-adhyaksa.ac.id</t>
  </si>
  <si>
    <t>087886641999</t>
  </si>
  <si>
    <t>Jl. Rajawali Selatan BLK A/6</t>
  </si>
  <si>
    <t>Gunung Sahari Utara</t>
  </si>
  <si>
    <t>Sawah Besar</t>
  </si>
  <si>
    <t>Hery Nur Rohmat</t>
  </si>
  <si>
    <t>hery.rohmat@stih-adhyaksa.ac.id</t>
  </si>
  <si>
    <t>085811180112</t>
  </si>
  <si>
    <t>Sragen</t>
  </si>
  <si>
    <t>Rusunawa Jatinegara Kaum Blok C 404 RT 003/RW 009</t>
  </si>
  <si>
    <t>Jatinegara Kaum</t>
  </si>
  <si>
    <t>Pulo Gadung</t>
  </si>
  <si>
    <t>13250</t>
  </si>
  <si>
    <t>Muhammad Salman</t>
  </si>
  <si>
    <t>muhammad.salman@stih-adhyaksa.ac.id</t>
  </si>
  <si>
    <t>09.036</t>
  </si>
  <si>
    <t>08119319926</t>
  </si>
  <si>
    <t>13120</t>
  </si>
  <si>
    <t>Achmad Junaidi</t>
  </si>
  <si>
    <t>achmad.junaidi@stih-adhyaksa.ac.id</t>
  </si>
  <si>
    <t>082194970377</t>
  </si>
  <si>
    <t>Pamekasan</t>
  </si>
  <si>
    <t>Jl. Prihatin No 40 RT 007 RW 002</t>
  </si>
  <si>
    <t>Kelapa Gading Barat</t>
  </si>
  <si>
    <t xml:space="preserve">Kelapa Gading </t>
  </si>
  <si>
    <t>14240</t>
  </si>
  <si>
    <t>Rus'an</t>
  </si>
  <si>
    <t>rus'an@stih-adhyaksa.ac.id</t>
  </si>
  <si>
    <t>Audrilia Zara Rier</t>
  </si>
  <si>
    <t>audrilia.rier@stih-adhyaksa.ac.id</t>
  </si>
  <si>
    <t>Surya Dwi Pratama (blm du)</t>
  </si>
  <si>
    <t>surya.pratama@stih-adhyaksa.ac.id</t>
  </si>
  <si>
    <t>Raffi Farid Ahmad</t>
  </si>
  <si>
    <t>Adim Wira Fathona</t>
  </si>
  <si>
    <t>wiraadim@gmail.com</t>
  </si>
  <si>
    <t>0066439462</t>
  </si>
  <si>
    <t>085718925164</t>
  </si>
  <si>
    <t>Jatiranggon</t>
  </si>
  <si>
    <t>Indonesia</t>
  </si>
  <si>
    <t>Peserta Didik Baru</t>
  </si>
  <si>
    <t>Reguler</t>
  </si>
  <si>
    <t>Semester 1</t>
  </si>
  <si>
    <t>Adhy Satrio Tri Wardhana</t>
  </si>
  <si>
    <t>adhysatriotw@gmail.com</t>
  </si>
  <si>
    <t>0011772212</t>
  </si>
  <si>
    <t>088211888719</t>
  </si>
  <si>
    <t xml:space="preserve">Tangerang
</t>
  </si>
  <si>
    <t>Dukuh</t>
  </si>
  <si>
    <t xml:space="preserve">Tajur </t>
  </si>
  <si>
    <t>Jakarta Timur</t>
  </si>
  <si>
    <t>Pindahan</t>
  </si>
  <si>
    <t>Afrilia Wahurun Inun</t>
  </si>
  <si>
    <t>afriliawahuruninun2@gmail.com</t>
  </si>
  <si>
    <t>0040532279</t>
  </si>
  <si>
    <t>085223485050</t>
  </si>
  <si>
    <t>Bengkulu</t>
  </si>
  <si>
    <t>Kota Bengkulu</t>
  </si>
  <si>
    <t>Jembatan Kecil</t>
  </si>
  <si>
    <t>Gading Cempaka</t>
  </si>
  <si>
    <t>Beasiswa 50%</t>
  </si>
  <si>
    <t xml:space="preserve">Ahmad Nabil Sodfi </t>
  </si>
  <si>
    <t>sodfiahmadnabil@gmail.com</t>
  </si>
  <si>
    <t>0065192592</t>
  </si>
  <si>
    <t>081288103989</t>
  </si>
  <si>
    <t>Akesia Gracetimansia BR Ginting Manik</t>
  </si>
  <si>
    <t>akesia27282@gmail.com</t>
  </si>
  <si>
    <t>0071974619</t>
  </si>
  <si>
    <t>0882016777339</t>
  </si>
  <si>
    <t xml:space="preserve">Belawan </t>
  </si>
  <si>
    <t>Belawan II</t>
  </si>
  <si>
    <t>Aldreyfano Evan Rizky Fauzan</t>
  </si>
  <si>
    <t>aldreyfano16@gmail.com</t>
  </si>
  <si>
    <t>0065112438</t>
  </si>
  <si>
    <t>081292693360</t>
  </si>
  <si>
    <t>Beasiswa 70%</t>
  </si>
  <si>
    <t>Alexander John David Agung</t>
  </si>
  <si>
    <t>xelagnuga@gmail.com</t>
  </si>
  <si>
    <t>0073677930</t>
  </si>
  <si>
    <t>081285555006</t>
  </si>
  <si>
    <t xml:space="preserve">Setu </t>
  </si>
  <si>
    <t>Amar Khalid Harahap</t>
  </si>
  <si>
    <t>khalidamar590@gmail.com</t>
  </si>
  <si>
    <t>0066644811</t>
  </si>
  <si>
    <t>081361264949</t>
  </si>
  <si>
    <t xml:space="preserve">Medan </t>
  </si>
  <si>
    <t xml:space="preserve">Tangsi </t>
  </si>
  <si>
    <t xml:space="preserve">Binjai Kota </t>
  </si>
  <si>
    <t>Amira Nur Mecca Lubis</t>
  </si>
  <si>
    <t>amiramecca1@gmail.com</t>
  </si>
  <si>
    <t>0075223303</t>
  </si>
  <si>
    <t>087749414914</t>
  </si>
  <si>
    <t>Spanduk/Flyer</t>
  </si>
  <si>
    <t>Beasiswa 100%</t>
  </si>
  <si>
    <t>Amung Wijaya Abdullah</t>
  </si>
  <si>
    <t>amungabdullah@gmail.com</t>
  </si>
  <si>
    <t>0000001610</t>
  </si>
  <si>
    <t>087876034933</t>
  </si>
  <si>
    <t>12/06/1966</t>
  </si>
  <si>
    <t>Semester 3</t>
  </si>
  <si>
    <t>Anesah</t>
  </si>
  <si>
    <t>anesah@jgh.greengnr.org</t>
  </si>
  <si>
    <t>0059969324</t>
  </si>
  <si>
    <t>0881025252173</t>
  </si>
  <si>
    <t>Lebak</t>
  </si>
  <si>
    <t>Bungurmekar</t>
  </si>
  <si>
    <t>Sajira</t>
  </si>
  <si>
    <t>Annisa Bunga Al-Khalifi</t>
  </si>
  <si>
    <t>annisabunga339@gmail.com</t>
  </si>
  <si>
    <t>0137629906</t>
  </si>
  <si>
    <t>085731728058</t>
  </si>
  <si>
    <t>04/07/2007</t>
  </si>
  <si>
    <t xml:space="preserve">Arenjaya </t>
  </si>
  <si>
    <t>Arenjaya</t>
  </si>
  <si>
    <t>Bekasi Timur</t>
  </si>
  <si>
    <t>Anthony</t>
  </si>
  <si>
    <t>anthonyguo13@gmail.com</t>
  </si>
  <si>
    <t>0000022135</t>
  </si>
  <si>
    <t>081317089888</t>
  </si>
  <si>
    <t>Pematang Siantar</t>
  </si>
  <si>
    <t xml:space="preserve">Kembangan Selatan </t>
  </si>
  <si>
    <t>Kembangan Selatan</t>
  </si>
  <si>
    <t>Kembangan</t>
  </si>
  <si>
    <t>Arya Damar Arfian</t>
  </si>
  <si>
    <t>arfiandamar32@gmail.com</t>
  </si>
  <si>
    <t>0073344198</t>
  </si>
  <si>
    <t>081281416622</t>
  </si>
  <si>
    <t>Sukoharjo</t>
  </si>
  <si>
    <t>11/04/2007</t>
  </si>
  <si>
    <t xml:space="preserve">Klender </t>
  </si>
  <si>
    <t xml:space="preserve">Duren Sawit </t>
  </si>
  <si>
    <t>Arya Eka Putra</t>
  </si>
  <si>
    <t>aryaaptraaaa@gmail.com</t>
  </si>
  <si>
    <t>0063541933</t>
  </si>
  <si>
    <t>Pondok Kacang</t>
  </si>
  <si>
    <t>Pondok Kacang Timur</t>
  </si>
  <si>
    <t>Atha Hukama Ardyawati</t>
  </si>
  <si>
    <t>hukama.atha@gmail.com</t>
  </si>
  <si>
    <t>0034976100</t>
  </si>
  <si>
    <t>085704680191</t>
  </si>
  <si>
    <t>Srengseng Sawah</t>
  </si>
  <si>
    <t>Athifa Farras Fazila</t>
  </si>
  <si>
    <t>athifa.fazzila@gmail.com</t>
  </si>
  <si>
    <t>0072917724</t>
  </si>
  <si>
    <t>089510545171</t>
  </si>
  <si>
    <t>Pontianak</t>
  </si>
  <si>
    <t>08/12/2007</t>
  </si>
  <si>
    <t>RANGKAPAN JAYA BARU</t>
  </si>
  <si>
    <t>Balqis Nabilla</t>
  </si>
  <si>
    <t>nabillabalqis0815@gmail.com</t>
  </si>
  <si>
    <t>0053828120</t>
  </si>
  <si>
    <t>0895358495203</t>
  </si>
  <si>
    <t>Kebon Bawang</t>
  </si>
  <si>
    <t>Bintang Rizky Hamonangan</t>
  </si>
  <si>
    <t xml:space="preserve">bintangr64@gmail.com
</t>
  </si>
  <si>
    <t>089503423895</t>
  </si>
  <si>
    <t xml:space="preserve">Jakarta
</t>
  </si>
  <si>
    <t>Cipadu Jaya</t>
  </si>
  <si>
    <t xml:space="preserve">Cipadu Jaya </t>
  </si>
  <si>
    <t xml:space="preserve">Larangan </t>
  </si>
  <si>
    <t>Bunga Padma Sari</t>
  </si>
  <si>
    <t>bungapadmasarii@gmail.com</t>
  </si>
  <si>
    <t>0065721034</t>
  </si>
  <si>
    <t>0881011436453</t>
  </si>
  <si>
    <t>03/11/2006</t>
  </si>
  <si>
    <t xml:space="preserve">Babelankota </t>
  </si>
  <si>
    <t>Babelan</t>
  </si>
  <si>
    <t>Candra Wijaya Muling</t>
  </si>
  <si>
    <t>cw544474@gmail.com</t>
  </si>
  <si>
    <t>0077140810</t>
  </si>
  <si>
    <t>082256649085</t>
  </si>
  <si>
    <t>Malinau</t>
  </si>
  <si>
    <t>03/12/2007</t>
  </si>
  <si>
    <t xml:space="preserve">Long Pujungan </t>
  </si>
  <si>
    <t>Long Pujungan</t>
  </si>
  <si>
    <t>Pujungan</t>
  </si>
  <si>
    <t>Chatar Abdullah Kean</t>
  </si>
  <si>
    <t>chatarkean1707@gmail.com</t>
  </si>
  <si>
    <t>0075475500</t>
  </si>
  <si>
    <t>081935665596</t>
  </si>
  <si>
    <t xml:space="preserve">Cilandak Timur </t>
  </si>
  <si>
    <t>Cilandak Timur</t>
  </si>
  <si>
    <t>Clara Andhara Puspa</t>
  </si>
  <si>
    <t>andharaclara@gmail.com</t>
  </si>
  <si>
    <t>0068392191</t>
  </si>
  <si>
    <t>0881025604942</t>
  </si>
  <si>
    <t>02/12/2006</t>
  </si>
  <si>
    <t>Dalbert Akza Wicaksana</t>
  </si>
  <si>
    <t>dalbertakzawicaksana@gmail.com</t>
  </si>
  <si>
    <t>0071456489</t>
  </si>
  <si>
    <t>082354635459</t>
  </si>
  <si>
    <t>Palangka Raya</t>
  </si>
  <si>
    <t>05/08/2007</t>
  </si>
  <si>
    <t>Jekan Raya</t>
  </si>
  <si>
    <t>Dennis Mahardika Haryono</t>
  </si>
  <si>
    <t>mahardikadennis.98@gmail.com</t>
  </si>
  <si>
    <t>087779298693</t>
  </si>
  <si>
    <t>Tanjungpura</t>
  </si>
  <si>
    <t>Delka Orgiandana Arnov</t>
  </si>
  <si>
    <t>orgiandanaarnov@gmail.con</t>
  </si>
  <si>
    <t>0061617755</t>
  </si>
  <si>
    <t>081212771608</t>
  </si>
  <si>
    <t>Beji</t>
  </si>
  <si>
    <t>Ding Chong</t>
  </si>
  <si>
    <t>081287170217</t>
  </si>
  <si>
    <t>Liaoning</t>
  </si>
  <si>
    <t xml:space="preserve">Kembangan Utara </t>
  </si>
  <si>
    <t>Kembangan Utara</t>
  </si>
  <si>
    <t xml:space="preserve">WNA China </t>
  </si>
  <si>
    <t>Elsha Anistira Puteri</t>
  </si>
  <si>
    <t>elsyaanistira@gmail.com</t>
  </si>
  <si>
    <t>085280724724</t>
  </si>
  <si>
    <t>GROGOL SELATAN</t>
  </si>
  <si>
    <t xml:space="preserve">GROGOL SELATAN </t>
  </si>
  <si>
    <t xml:space="preserve">KEBAYORAN LAMA </t>
  </si>
  <si>
    <t>Elfelin Gusrean Putri</t>
  </si>
  <si>
    <t>gusreanelfelin@gmail.com</t>
  </si>
  <si>
    <t>0064327756</t>
  </si>
  <si>
    <t>083170846746</t>
  </si>
  <si>
    <t>11/08/2006</t>
  </si>
  <si>
    <t>Ridan Permai</t>
  </si>
  <si>
    <t>Galih Rivane Febriansyah</t>
  </si>
  <si>
    <t>galihrivane@gmail.com</t>
  </si>
  <si>
    <t>0075696803</t>
  </si>
  <si>
    <t>08117301777</t>
  </si>
  <si>
    <t>Keluarga / Kerabat (Kakak Tingkat)</t>
  </si>
  <si>
    <t>Ghea Zahwa Fahira Bunga Lestari</t>
  </si>
  <si>
    <t>wasinopanmud@gmail.com</t>
  </si>
  <si>
    <t>0073131922</t>
  </si>
  <si>
    <t>087843976856</t>
  </si>
  <si>
    <t>15/04/2007</t>
  </si>
  <si>
    <t>Fajar Islami</t>
  </si>
  <si>
    <t>fajarmanthovani27@gmail.com</t>
  </si>
  <si>
    <t>0076294759</t>
  </si>
  <si>
    <t>085156444370</t>
  </si>
  <si>
    <t>Kunciran</t>
  </si>
  <si>
    <t>Pinang</t>
  </si>
  <si>
    <t>Fathir Almaz Gibran</t>
  </si>
  <si>
    <t>fathiralmaz@gmail.com</t>
  </si>
  <si>
    <t>0065602455</t>
  </si>
  <si>
    <t>085882520526</t>
  </si>
  <si>
    <t>Lenteng Agung</t>
  </si>
  <si>
    <t>Fathir Wira Hendra Putra</t>
  </si>
  <si>
    <t>fathirwira171206@gmail.com</t>
  </si>
  <si>
    <t>0062758703</t>
  </si>
  <si>
    <t>081804961084</t>
  </si>
  <si>
    <t>CIPARIGI</t>
  </si>
  <si>
    <t xml:space="preserve">BOGOR UTARA </t>
  </si>
  <si>
    <t>Fathin Akbar Farisma</t>
  </si>
  <si>
    <t>fathinaf.ig@gmail.om</t>
  </si>
  <si>
    <t>0046767166</t>
  </si>
  <si>
    <t>08126901878</t>
  </si>
  <si>
    <t>Bireuen</t>
  </si>
  <si>
    <t xml:space="preserve">Geulanggang Baro </t>
  </si>
  <si>
    <t>Geulanggang Baro</t>
  </si>
  <si>
    <t>Kota Juang</t>
  </si>
  <si>
    <t>Febrin Maulana Ridzky</t>
  </si>
  <si>
    <t>febrinmaulana659@gmail.com</t>
  </si>
  <si>
    <t>0071288614</t>
  </si>
  <si>
    <t>089638008218</t>
  </si>
  <si>
    <t>05/02/2007</t>
  </si>
  <si>
    <t xml:space="preserve">Bukit Duri </t>
  </si>
  <si>
    <t>Bukit Duri</t>
  </si>
  <si>
    <t>Fernando Risky Andriawan</t>
  </si>
  <si>
    <t>fernandowidodo01@gmail.com</t>
  </si>
  <si>
    <t>0072373784</t>
  </si>
  <si>
    <t>081386606199</t>
  </si>
  <si>
    <t>Kebayoran Lama Selatan</t>
  </si>
  <si>
    <t>Booth di Sekolah (Edufair)</t>
  </si>
  <si>
    <t>Izza Khawarizmi</t>
  </si>
  <si>
    <t>Izzakhw@gmail.com</t>
  </si>
  <si>
    <t>0039030064</t>
  </si>
  <si>
    <t>085731135308</t>
  </si>
  <si>
    <t xml:space="preserve">Pondok Jagung </t>
  </si>
  <si>
    <t>Serpong Utara</t>
  </si>
  <si>
    <t>Jibril Maxzimus Diesel</t>
  </si>
  <si>
    <t xml:space="preserve">maxzi.diesel@gmail.com </t>
  </si>
  <si>
    <t>0073753596</t>
  </si>
  <si>
    <t>085780300356</t>
  </si>
  <si>
    <t xml:space="preserve">Ciangsana </t>
  </si>
  <si>
    <t xml:space="preserve">Gunung Putri </t>
  </si>
  <si>
    <t>Kayla Agisna Azkiya</t>
  </si>
  <si>
    <t>Kaylaazkiya540@gmail.com</t>
  </si>
  <si>
    <t>0078970189</t>
  </si>
  <si>
    <t>089603627617</t>
  </si>
  <si>
    <t>Salembaran Jaya</t>
  </si>
  <si>
    <t>Kosambi</t>
  </si>
  <si>
    <t>Kayla Nabila Putri</t>
  </si>
  <si>
    <t>kyllnbliaa@gmail.com</t>
  </si>
  <si>
    <t>0074661701</t>
  </si>
  <si>
    <t>085798630466</t>
  </si>
  <si>
    <t>24/08/2007</t>
  </si>
  <si>
    <t xml:space="preserve">Bojongherang </t>
  </si>
  <si>
    <t>Bojongherang</t>
  </si>
  <si>
    <t>Keyza Aprilia</t>
  </si>
  <si>
    <t>aprilkeyza59@gmail.com</t>
  </si>
  <si>
    <t>0074072044</t>
  </si>
  <si>
    <t>081563311729</t>
  </si>
  <si>
    <t>Indramayu</t>
  </si>
  <si>
    <t>23/04/2007</t>
  </si>
  <si>
    <t>Pondok Pinang</t>
  </si>
  <si>
    <t>Keyza Sannya Gunawan</t>
  </si>
  <si>
    <t>keyzia.0502@gmail.com</t>
  </si>
  <si>
    <t>0073154936</t>
  </si>
  <si>
    <t>089643335523</t>
  </si>
  <si>
    <t xml:space="preserve">Tanjung Barat </t>
  </si>
  <si>
    <t>Khairu Athaa Surya Perdana</t>
  </si>
  <si>
    <t>khairuathaasp29@gmail.com</t>
  </si>
  <si>
    <t>0075549744</t>
  </si>
  <si>
    <t>0895635005181</t>
  </si>
  <si>
    <t xml:space="preserve">Pesanggrahan </t>
  </si>
  <si>
    <t>Pesanggrahan</t>
  </si>
  <si>
    <t>Layka Agisty Pasha</t>
  </si>
  <si>
    <t>laykaagisty4@gmail.com</t>
  </si>
  <si>
    <t>0067572072</t>
  </si>
  <si>
    <t>08976794499</t>
  </si>
  <si>
    <t>20/08/2006</t>
  </si>
  <si>
    <t>Cipedak</t>
  </si>
  <si>
    <t>Margaretha Happy Dianezra Sijabat</t>
  </si>
  <si>
    <t>margarethahappy01@gmail.com</t>
  </si>
  <si>
    <t>0075350238</t>
  </si>
  <si>
    <t>087881791334</t>
  </si>
  <si>
    <t>01/01/2007</t>
  </si>
  <si>
    <t>Cipinang Melayu</t>
  </si>
  <si>
    <t xml:space="preserve">Cipinang Melayu </t>
  </si>
  <si>
    <t>Mario Saleh</t>
  </si>
  <si>
    <t>salehharahapm@gmail.com</t>
  </si>
  <si>
    <t>0055773899</t>
  </si>
  <si>
    <t>081262016321</t>
  </si>
  <si>
    <t>Purba Sinomba</t>
  </si>
  <si>
    <t>Padang Bolak</t>
  </si>
  <si>
    <t>Mervly Rumfiarsa Kelmanutu</t>
  </si>
  <si>
    <t>memeyrumfiarsa@gmail.com</t>
  </si>
  <si>
    <t>0062843583</t>
  </si>
  <si>
    <t>088973640122</t>
  </si>
  <si>
    <t>11/07/2006</t>
  </si>
  <si>
    <t xml:space="preserve">Bakti Jaya </t>
  </si>
  <si>
    <t>Bakti Jaya</t>
  </si>
  <si>
    <t>Miranda Eryna Vimala Bulan</t>
  </si>
  <si>
    <t>mirandaeryna54@gmail.com</t>
  </si>
  <si>
    <t>0062653687</t>
  </si>
  <si>
    <t>082252713141</t>
  </si>
  <si>
    <t>Tanjung Selor</t>
  </si>
  <si>
    <t>03/06/2006</t>
  </si>
  <si>
    <t>098</t>
  </si>
  <si>
    <t>036</t>
  </si>
  <si>
    <t xml:space="preserve">Tanjung Selor Hilir </t>
  </si>
  <si>
    <t>Tanjung Selor Hilir</t>
  </si>
  <si>
    <t>Mochamad Fajar Adiguna Prakoso</t>
  </si>
  <si>
    <t>fajarprakoso66@gmail.com</t>
  </si>
  <si>
    <t>0076473316</t>
  </si>
  <si>
    <t>081292377644</t>
  </si>
  <si>
    <t xml:space="preserve">Sukahati </t>
  </si>
  <si>
    <t>Sukahati</t>
  </si>
  <si>
    <t>Mohammad Darren Dzulhannan</t>
  </si>
  <si>
    <t>huft69721@gmail.com</t>
  </si>
  <si>
    <t>0066129017</t>
  </si>
  <si>
    <t>082123261908</t>
  </si>
  <si>
    <t>Beasiswa 20%</t>
  </si>
  <si>
    <t>Muammar Khadafi</t>
  </si>
  <si>
    <t>muamarkhadafi042006@gmail.com</t>
  </si>
  <si>
    <t>0063668879</t>
  </si>
  <si>
    <t>089637824573</t>
  </si>
  <si>
    <t>Harapan Mulya</t>
  </si>
  <si>
    <t>Muhammad Arya Arafah</t>
  </si>
  <si>
    <t>aryaarafah30@gmail.com</t>
  </si>
  <si>
    <t>0042690113</t>
  </si>
  <si>
    <t>082199700515</t>
  </si>
  <si>
    <t>02/04/2004</t>
  </si>
  <si>
    <t>Jayapura Selatan</t>
  </si>
  <si>
    <t>Muhammad Fachrel Alwi</t>
  </si>
  <si>
    <t>alwimfahrel@gmail.com</t>
  </si>
  <si>
    <t>0064771171</t>
  </si>
  <si>
    <t>082299818120</t>
  </si>
  <si>
    <t>Kumantan</t>
  </si>
  <si>
    <t>Muhammad Haikal</t>
  </si>
  <si>
    <t>marketkal97@gmail.com</t>
  </si>
  <si>
    <t>0044026724</t>
  </si>
  <si>
    <t>085778619948</t>
  </si>
  <si>
    <t>06/05/2004</t>
  </si>
  <si>
    <t xml:space="preserve">Tirtajaya </t>
  </si>
  <si>
    <t>Tirtajaya</t>
  </si>
  <si>
    <t>Muhammad Prasetyo Utomo</t>
  </si>
  <si>
    <t>m.prasetyoutomo01@gmail.com</t>
  </si>
  <si>
    <t>0061809249</t>
  </si>
  <si>
    <t>082114299749</t>
  </si>
  <si>
    <t xml:space="preserve">Kebon Kelapa </t>
  </si>
  <si>
    <t>Kebon Kelapa</t>
  </si>
  <si>
    <t>Gambir</t>
  </si>
  <si>
    <t>Mustika Rahma Putri</t>
  </si>
  <si>
    <t>putriirahmaamustikaa@gmail.com</t>
  </si>
  <si>
    <t>081399925830</t>
  </si>
  <si>
    <t>09/05/1997</t>
  </si>
  <si>
    <t>Cicurug</t>
  </si>
  <si>
    <t>Muhammad Tan Malaka</t>
  </si>
  <si>
    <t>mtanmalaka025@gmail.com</t>
  </si>
  <si>
    <t>0054394560</t>
  </si>
  <si>
    <t>089504368318</t>
  </si>
  <si>
    <t>Nadhifa Aulia Yasmin</t>
  </si>
  <si>
    <t>ndfysmn@gmail.com</t>
  </si>
  <si>
    <t>0064425180</t>
  </si>
  <si>
    <t>087753727812</t>
  </si>
  <si>
    <t>Cengkareng</t>
  </si>
  <si>
    <t>Nadya Ayu Ningthias</t>
  </si>
  <si>
    <t>nayu8103@gmail.com</t>
  </si>
  <si>
    <t>0051615981</t>
  </si>
  <si>
    <t>082281356003</t>
  </si>
  <si>
    <t>Gisting</t>
  </si>
  <si>
    <t>Gisting Atas</t>
  </si>
  <si>
    <t>Nandar Wulan</t>
  </si>
  <si>
    <t>nandarwulan7@gmail.com</t>
  </si>
  <si>
    <t>0068619459</t>
  </si>
  <si>
    <t>081316047508</t>
  </si>
  <si>
    <t>cengklong</t>
  </si>
  <si>
    <t>kosambi</t>
  </si>
  <si>
    <t>Nasywa Inas Affifah</t>
  </si>
  <si>
    <t>naynasfah21@gmail.com</t>
  </si>
  <si>
    <t>0062842321</t>
  </si>
  <si>
    <t>085697539796</t>
  </si>
  <si>
    <t>Nisrina Kamiliya Yusuf</t>
  </si>
  <si>
    <t>nisrinakamilia11@gmail.com</t>
  </si>
  <si>
    <t>0076801135</t>
  </si>
  <si>
    <t>081295740491</t>
  </si>
  <si>
    <t>09/02/2007</t>
  </si>
  <si>
    <t>Pondok Kelapa</t>
  </si>
  <si>
    <t>Nursiti Randini</t>
  </si>
  <si>
    <t>randinidini215@gmail. com</t>
  </si>
  <si>
    <t>082213083841</t>
  </si>
  <si>
    <t>KedokanBunder Wetan</t>
  </si>
  <si>
    <t>Kedokan Bunder</t>
  </si>
  <si>
    <t>Semester 5</t>
  </si>
  <si>
    <t>Pusanti Ding, Ph.D</t>
  </si>
  <si>
    <t>081903030909</t>
  </si>
  <si>
    <t>11/08/1992</t>
  </si>
  <si>
    <t>Raffi Rizkytia Novebryan</t>
  </si>
  <si>
    <t>fiirizkytia@gmail.com</t>
  </si>
  <si>
    <t>0064967194</t>
  </si>
  <si>
    <t>082180882367</t>
  </si>
  <si>
    <t>Kemiri Muka</t>
  </si>
  <si>
    <t>Raffy Aulia</t>
  </si>
  <si>
    <t>auliraffi@gmail.com</t>
  </si>
  <si>
    <t>0075367524</t>
  </si>
  <si>
    <t>082210482892</t>
  </si>
  <si>
    <t>Sabang</t>
  </si>
  <si>
    <t>Paya Bujok Tunong</t>
  </si>
  <si>
    <t xml:space="preserve">Langsa Baro </t>
  </si>
  <si>
    <t>Revalina Zhalika Marsya</t>
  </si>
  <si>
    <t>revalinazm.official@gmail.com</t>
  </si>
  <si>
    <t>0078695677</t>
  </si>
  <si>
    <t>081291526089</t>
  </si>
  <si>
    <t>Ciater</t>
  </si>
  <si>
    <t>Serpong</t>
  </si>
  <si>
    <t>Ricky Joeshel March</t>
  </si>
  <si>
    <t>joejoland@gmail.com</t>
  </si>
  <si>
    <t>082111707570</t>
  </si>
  <si>
    <t>10/03/1998</t>
  </si>
  <si>
    <t xml:space="preserve">Cikasungka </t>
  </si>
  <si>
    <t>Solear</t>
  </si>
  <si>
    <t>Salsabila Anandira Zahra</t>
  </si>
  <si>
    <t>anandira@icloud.com</t>
  </si>
  <si>
    <t>0020810848</t>
  </si>
  <si>
    <t>08979441554</t>
  </si>
  <si>
    <t>16/07/2002</t>
  </si>
  <si>
    <t>Sahara Islami Syahidana</t>
  </si>
  <si>
    <t>saharaislami411@gmail.com</t>
  </si>
  <si>
    <t>0078851000</t>
  </si>
  <si>
    <t>085211206225</t>
  </si>
  <si>
    <t>Sekar Rahayu Putri</t>
  </si>
  <si>
    <t xml:space="preserve">skrrahayuputri@gmail.com
</t>
  </si>
  <si>
    <t>0041715407</t>
  </si>
  <si>
    <t>0895325905763</t>
  </si>
  <si>
    <t>15/04/2004</t>
  </si>
  <si>
    <t xml:space="preserve">Jatibening Baru </t>
  </si>
  <si>
    <t>Pondokgede</t>
  </si>
  <si>
    <t>Siti Adelia Putri Zahira</t>
  </si>
  <si>
    <t>deliazahira4@gmail.com</t>
  </si>
  <si>
    <t>0065181826</t>
  </si>
  <si>
    <t>085695108487</t>
  </si>
  <si>
    <t>Spanduk/Flyer (Dekat dari Rumah)</t>
  </si>
  <si>
    <t>Siti Ahdia Fawwaz Nurwendha</t>
  </si>
  <si>
    <t>wendhaahdia@gmail.com</t>
  </si>
  <si>
    <t>0078638026</t>
  </si>
  <si>
    <t>087876562433</t>
  </si>
  <si>
    <t xml:space="preserve">Jakarta 
</t>
  </si>
  <si>
    <t xml:space="preserve">Duren Tiga </t>
  </si>
  <si>
    <t>Sukarman</t>
  </si>
  <si>
    <t>sukarman@nusindo-marine.co.id</t>
  </si>
  <si>
    <t>0000008336</t>
  </si>
  <si>
    <t>087878491193</t>
  </si>
  <si>
    <t>Grobogan</t>
  </si>
  <si>
    <t>03/03/1980</t>
  </si>
  <si>
    <t>Rorotan</t>
  </si>
  <si>
    <t>Cilincing</t>
  </si>
  <si>
    <t>Dosen STIH Adhyaksa</t>
  </si>
  <si>
    <t>Sultan Akbar Maiyantri</t>
  </si>
  <si>
    <t>sultanakbarmaiyantri@gmail.com</t>
  </si>
  <si>
    <t>0084979268</t>
  </si>
  <si>
    <t>085641985503</t>
  </si>
  <si>
    <t>Gadingharjo</t>
  </si>
  <si>
    <t>Sanden</t>
  </si>
  <si>
    <t>Syarifah Radhwa Rabbani Irsan</t>
  </si>
  <si>
    <t>radhwasyarifah@gmail.com</t>
  </si>
  <si>
    <t>0073105143</t>
  </si>
  <si>
    <t>082110705402</t>
  </si>
  <si>
    <t>Cijujung</t>
  </si>
  <si>
    <t>Sukaraja</t>
  </si>
  <si>
    <t>Wahyuningrum</t>
  </si>
  <si>
    <t>ayuwhn14@gmail.com</t>
  </si>
  <si>
    <t>0023983892</t>
  </si>
  <si>
    <t>085782070517</t>
  </si>
  <si>
    <t>Wira Budi Unggul Prasetyo</t>
  </si>
  <si>
    <t>wirabudi29@gmail.com</t>
  </si>
  <si>
    <t>08170109038</t>
  </si>
  <si>
    <t>Mekarsari</t>
  </si>
  <si>
    <t>Cimanggis</t>
  </si>
  <si>
    <t>Yuda Prawira Jayeng Wardhana</t>
  </si>
  <si>
    <t>yuda.wardhana@gmail.com</t>
  </si>
  <si>
    <t>0006071021</t>
  </si>
  <si>
    <t>0817710622</t>
  </si>
  <si>
    <t>Muhammad Rifqi Perdana</t>
  </si>
  <si>
    <t>perdanarifqi2003@gmail.com</t>
  </si>
  <si>
    <t>0039404657</t>
  </si>
  <si>
    <t>085719500462</t>
  </si>
  <si>
    <t>Novenli Silaen</t>
  </si>
  <si>
    <t>h.novenlee.s@gmail.com</t>
  </si>
  <si>
    <t>0000883065</t>
  </si>
  <si>
    <t>081382522421</t>
  </si>
  <si>
    <t>Tanjung Balai</t>
  </si>
  <si>
    <t>Cilangkap</t>
  </si>
  <si>
    <t>Natanael Great Benedict Tampubolon</t>
  </si>
  <si>
    <t>natangbt8@gmail.com</t>
  </si>
  <si>
    <t>0064305521</t>
  </si>
  <si>
    <t>089635626332</t>
  </si>
  <si>
    <t>Pekayonjaya</t>
  </si>
  <si>
    <t>PekayonJaya</t>
  </si>
  <si>
    <t xml:space="preserve">Bekasi Selatan </t>
  </si>
  <si>
    <t>Hasnu</t>
  </si>
  <si>
    <t>hasnuibrahim12@gmail.com</t>
  </si>
  <si>
    <t>081338331562</t>
  </si>
  <si>
    <t>Tompong</t>
  </si>
  <si>
    <t>Nampar Sepang</t>
  </si>
  <si>
    <t xml:space="preserve">Sambi Rampas </t>
  </si>
  <si>
    <t>Dafin Fachriza Rahman</t>
  </si>
  <si>
    <t xml:space="preserve">dfnrahman@gmail.com
</t>
  </si>
  <si>
    <t>0074862829</t>
  </si>
  <si>
    <t>081213459434</t>
  </si>
  <si>
    <t>Jakasampurna</t>
  </si>
  <si>
    <t>Felix Toman Pangondian Situmorang</t>
  </si>
  <si>
    <t xml:space="preserve">tomansitumorang27@gmail.com
</t>
  </si>
  <si>
    <t>0030394470</t>
  </si>
  <si>
    <t>082138483528</t>
  </si>
  <si>
    <t>Dewi Sartika</t>
  </si>
  <si>
    <t>dewi.ismproject@gmail.com</t>
  </si>
  <si>
    <t>0000004178</t>
  </si>
  <si>
    <t>082225602352</t>
  </si>
  <si>
    <t>Agusty Abu Isnaeni</t>
  </si>
  <si>
    <t>agustyabuisnaeni7@gmail.com</t>
  </si>
  <si>
    <t>085559201921</t>
  </si>
  <si>
    <t>Tuban</t>
  </si>
  <si>
    <t>Kedungjeruk</t>
  </si>
  <si>
    <t>Mojogedang</t>
  </si>
  <si>
    <t>Pemerintahan Kota Surakarta (Sosial Media)</t>
  </si>
  <si>
    <t>Abdul Wahid</t>
  </si>
  <si>
    <t>wahid.fbba11@yahoo.com</t>
  </si>
  <si>
    <t>0000000718</t>
  </si>
  <si>
    <t>085712510970</t>
  </si>
  <si>
    <t>Batang</t>
  </si>
  <si>
    <t>Rowosari</t>
  </si>
  <si>
    <t>Rahman Wibowo</t>
  </si>
  <si>
    <t>abdulrahman27071995@gmail.com</t>
  </si>
  <si>
    <t>082118749337</t>
  </si>
  <si>
    <t>Kendal</t>
  </si>
  <si>
    <t>Gempolsewu</t>
  </si>
  <si>
    <t>Ilham Kurnia Sandy</t>
  </si>
  <si>
    <t>kaessandy@gmail.com</t>
  </si>
  <si>
    <t>0000004067</t>
  </si>
  <si>
    <t>085700470828</t>
  </si>
  <si>
    <t>Magelang</t>
  </si>
  <si>
    <t>Kampung Baru</t>
  </si>
  <si>
    <t>Pasar Kuwon</t>
  </si>
  <si>
    <t>Zaki Nugraha</t>
  </si>
  <si>
    <t>zakinugrahagarut@gmail.com</t>
  </si>
  <si>
    <t>0091010315</t>
  </si>
  <si>
    <t>085316472189</t>
  </si>
  <si>
    <t>Garut</t>
  </si>
  <si>
    <t>Karsamenak</t>
  </si>
  <si>
    <t>Kawalu</t>
  </si>
  <si>
    <t>Muhamad Dzakwan Nabil</t>
  </si>
  <si>
    <t xml:space="preserve">dzakwannabil5@gmail.com </t>
  </si>
  <si>
    <t>0014361752</t>
  </si>
  <si>
    <t>089530148833</t>
  </si>
  <si>
    <t>Durenombo</t>
  </si>
  <si>
    <t>Subah</t>
  </si>
  <si>
    <t>Haiban Habib</t>
  </si>
  <si>
    <t>habibhaiban@gmail.com</t>
  </si>
  <si>
    <t>085879132092</t>
  </si>
  <si>
    <t>Jebres</t>
  </si>
  <si>
    <t>Muhammad Naufal Al Hidayah</t>
  </si>
  <si>
    <t>muhammadnaufalalhidayah@gmail.com</t>
  </si>
  <si>
    <t>088221353801</t>
  </si>
  <si>
    <t>Penyangkringan</t>
  </si>
  <si>
    <t>Weleri</t>
  </si>
  <si>
    <t>David Darmawan</t>
  </si>
  <si>
    <t>daviddrmwn@gmail.com</t>
  </si>
  <si>
    <t>0001011729</t>
  </si>
  <si>
    <t>081229109936</t>
  </si>
  <si>
    <t>Baki</t>
  </si>
  <si>
    <t>Amelia Nindya Antari</t>
  </si>
  <si>
    <t>amelliyanindiya@gmail.com</t>
  </si>
  <si>
    <t>0063006021</t>
  </si>
  <si>
    <t>083848843955</t>
  </si>
  <si>
    <t>Karanganyar</t>
  </si>
  <si>
    <t>04/01/2006</t>
  </si>
  <si>
    <t xml:space="preserve">Gentungan </t>
  </si>
  <si>
    <t>Aries Fahruddin</t>
  </si>
  <si>
    <t>ariesfachruddin55@gmail.com</t>
  </si>
  <si>
    <t>0057053239</t>
  </si>
  <si>
    <t>082131368644</t>
  </si>
  <si>
    <t>Karang Agung</t>
  </si>
  <si>
    <t>Palang</t>
  </si>
  <si>
    <t>Idham Fazwa</t>
  </si>
  <si>
    <t>idhamfazwa2005@gmail.com</t>
  </si>
  <si>
    <t>081380880648</t>
  </si>
  <si>
    <t>Puskesmas</t>
  </si>
  <si>
    <t>Keluarga / Kerabat</t>
  </si>
  <si>
    <t>Linda Meriana</t>
  </si>
  <si>
    <t>lindameriana@gmail.com</t>
  </si>
  <si>
    <t>0000001943</t>
  </si>
  <si>
    <t>08568080908</t>
  </si>
  <si>
    <t>Ujung Pandang</t>
  </si>
  <si>
    <t>Bandungrejo</t>
  </si>
  <si>
    <t>Bayan</t>
  </si>
  <si>
    <t>Hanny Kristianto</t>
  </si>
  <si>
    <t>hipmmi@gmail.com</t>
  </si>
  <si>
    <t>0090911033</t>
  </si>
  <si>
    <t>081398999999</t>
  </si>
  <si>
    <t>Jogjakarta</t>
  </si>
  <si>
    <t>Kelapa Dua Wetan</t>
  </si>
  <si>
    <t>Nur Octorise Siahaan</t>
  </si>
  <si>
    <t>octorisewulan.siahaan777@gmal.com</t>
  </si>
  <si>
    <t>0000006188</t>
  </si>
  <si>
    <t>081331313216</t>
  </si>
  <si>
    <t>Melawai</t>
  </si>
  <si>
    <t>Muhammad Habiel Ghaniyy</t>
  </si>
  <si>
    <t>habielghny@gmail.com</t>
  </si>
  <si>
    <t>0069777765</t>
  </si>
  <si>
    <t>081387042799</t>
  </si>
  <si>
    <t>08/02/2006</t>
  </si>
  <si>
    <t>Muhammad As'ad Baiquni Rofi</t>
  </si>
  <si>
    <t>littleroof95@gmail.com</t>
  </si>
  <si>
    <t>1403020090258 (Paket C)</t>
  </si>
  <si>
    <t>081334666262</t>
  </si>
  <si>
    <t>Boyolali</t>
  </si>
  <si>
    <t>Pandanwangi</t>
  </si>
  <si>
    <t>Blimbing</t>
  </si>
  <si>
    <t>Agung Aribowo</t>
  </si>
  <si>
    <t>aribowoagung13@gmail.com</t>
  </si>
  <si>
    <t>082199464352</t>
  </si>
  <si>
    <t>Taraman</t>
  </si>
  <si>
    <t>Sidoharjo</t>
  </si>
  <si>
    <t>Dewi Puspitasari</t>
  </si>
  <si>
    <t>puspitasaridewi0257@gmail.com</t>
  </si>
  <si>
    <t>0002974148</t>
  </si>
  <si>
    <t>089652770800</t>
  </si>
  <si>
    <t>Surakarta</t>
  </si>
  <si>
    <t>Clolo</t>
  </si>
  <si>
    <t>Banjarsari</t>
  </si>
  <si>
    <t>Bryan Joseph Putra</t>
  </si>
  <si>
    <t>bryanboe24@gmail.com</t>
  </si>
  <si>
    <t>081311949892</t>
  </si>
  <si>
    <t>Luthfi Naufan Zulfikar</t>
  </si>
  <si>
    <t>luthfi.naufan13@gmail.com</t>
  </si>
  <si>
    <t>089637449882</t>
  </si>
  <si>
    <t xml:space="preserve">Bandung </t>
  </si>
  <si>
    <t>Pelindung Hewan</t>
  </si>
  <si>
    <t xml:space="preserve">Astana Anyar </t>
  </si>
  <si>
    <t>Satuan Kerja (Kejaksaan)</t>
  </si>
  <si>
    <t>Achmad Syaifudin</t>
  </si>
  <si>
    <t>achmadsyaifudin1995@gmail.com</t>
  </si>
  <si>
    <t>085161771995</t>
  </si>
  <si>
    <t>Meica Fatikha Choirunnisak</t>
  </si>
  <si>
    <t>meicacaf@gmail.com</t>
  </si>
  <si>
    <t>089699823406</t>
  </si>
  <si>
    <t>Jatisari</t>
  </si>
  <si>
    <t>Senori</t>
  </si>
  <si>
    <t>Triaji Satrio</t>
  </si>
  <si>
    <t>triajisatrio87@gmail.com</t>
  </si>
  <si>
    <t>089676368837</t>
  </si>
  <si>
    <t>Trenggalek</t>
  </si>
  <si>
    <t>Karangsoko</t>
  </si>
  <si>
    <t>Rani Maulida Alfara</t>
  </si>
  <si>
    <t>ranimaulidaalfara@gmail.com</t>
  </si>
  <si>
    <t>081319979889</t>
  </si>
  <si>
    <t>Sukajadi</t>
  </si>
  <si>
    <t>Prabumulih Timur</t>
  </si>
  <si>
    <t>Muhammad Aqil Naufal Zen</t>
  </si>
  <si>
    <t>aqilnaufalzen@gmail.com</t>
  </si>
  <si>
    <t>0051073916</t>
  </si>
  <si>
    <t>087730664114</t>
  </si>
  <si>
    <t xml:space="preserve">Yogyakarta </t>
  </si>
  <si>
    <t xml:space="preserve">Wirokerten </t>
  </si>
  <si>
    <t xml:space="preserve">Banguntapan </t>
  </si>
  <si>
    <t>Nissa Akmalia Zen</t>
  </si>
  <si>
    <t>nissakmalia270@gmail.com</t>
  </si>
  <si>
    <t>0000884355</t>
  </si>
  <si>
    <t>087762683537</t>
  </si>
  <si>
    <t>2230125345</t>
  </si>
  <si>
    <t>Sania Revina Lado</t>
  </si>
  <si>
    <t>saniarevina29@gmail.com</t>
  </si>
  <si>
    <t>0065544569</t>
  </si>
  <si>
    <t>085718004672</t>
  </si>
  <si>
    <t>29/08/2006</t>
  </si>
  <si>
    <t>Cisalak Pasar</t>
  </si>
  <si>
    <t>16953</t>
  </si>
  <si>
    <t>2230125346</t>
  </si>
  <si>
    <t>Anka Maula</t>
  </si>
  <si>
    <t>anka.maula@gmail.com</t>
  </si>
  <si>
    <t>0020799236</t>
  </si>
  <si>
    <t>088211888467</t>
  </si>
  <si>
    <t>10/07/2002</t>
  </si>
  <si>
    <t>Andik Prabowo</t>
  </si>
  <si>
    <t>andikprabowo30@gmail.com</t>
  </si>
  <si>
    <t>0000092069</t>
  </si>
  <si>
    <t>081381827905</t>
  </si>
  <si>
    <t>Setu</t>
  </si>
  <si>
    <t>Cipayung Jaktim</t>
  </si>
  <si>
    <t>Satuan Kerja (TNI)</t>
  </si>
  <si>
    <t>Prasetyo Tatadang Seke Bentelu</t>
  </si>
  <si>
    <t>bentelupras2@gmail.com</t>
  </si>
  <si>
    <t>0037167821</t>
  </si>
  <si>
    <t>085280999496</t>
  </si>
  <si>
    <t>Kamiwangi</t>
  </si>
  <si>
    <t xml:space="preserve">Kebayoran Lama Selatan </t>
  </si>
  <si>
    <t>Hardi Kurniawan</t>
  </si>
  <si>
    <t>2005hardi@gmail.com</t>
  </si>
  <si>
    <t>0000003642</t>
  </si>
  <si>
    <t>081286292846</t>
  </si>
  <si>
    <t>Maros</t>
  </si>
  <si>
    <t xml:space="preserve">Pondok Kelapa </t>
  </si>
  <si>
    <t>Silviana Panjaitan</t>
  </si>
  <si>
    <t>panjaitansilviana@gmail.com</t>
  </si>
  <si>
    <t>081269029451</t>
  </si>
  <si>
    <t>Difdha Agusto</t>
  </si>
  <si>
    <t>difdhasemploagusto@gmail.com</t>
  </si>
  <si>
    <t>0101110087</t>
  </si>
  <si>
    <t>081390002116</t>
  </si>
  <si>
    <t xml:space="preserve">Lenteng Agung </t>
  </si>
  <si>
    <t>Desta Prastyo Tri Wigati</t>
  </si>
  <si>
    <t>desta.prastyo@gmail.com</t>
  </si>
  <si>
    <t>082118405597</t>
  </si>
  <si>
    <t>Banjarnegara</t>
  </si>
  <si>
    <t>Kutabanjarnegara</t>
  </si>
  <si>
    <t>Feri Ariyanto</t>
  </si>
  <si>
    <t>ajeng.mawarsari1@gmail.com</t>
  </si>
  <si>
    <t>0000001889</t>
  </si>
  <si>
    <t>081310442837</t>
  </si>
  <si>
    <t xml:space="preserve">Pekayon </t>
  </si>
  <si>
    <t>Wahyu Widya Astuti</t>
  </si>
  <si>
    <t>sptbuyahamka@gmail.com</t>
  </si>
  <si>
    <t>0000010451</t>
  </si>
  <si>
    <t>082122849883</t>
  </si>
  <si>
    <t xml:space="preserve">Petojo Selatan </t>
  </si>
  <si>
    <t>Feri Andriyanto</t>
  </si>
  <si>
    <t>andriyantoz2112@gmail.com</t>
  </si>
  <si>
    <t>0050610057</t>
  </si>
  <si>
    <t>081387595050</t>
  </si>
  <si>
    <t>Pamoyanan</t>
  </si>
  <si>
    <t>Bogor Selatan</t>
  </si>
  <si>
    <t>Rizki Adibpansa</t>
  </si>
  <si>
    <t>rizkipansa115@gmail.com</t>
  </si>
  <si>
    <t>0056136868</t>
  </si>
  <si>
    <t>081229650323</t>
  </si>
  <si>
    <t>Nur Edi Mustofa</t>
  </si>
  <si>
    <t>nuredi3108@gmail.com</t>
  </si>
  <si>
    <t>0000002638</t>
  </si>
  <si>
    <t>085313348359</t>
  </si>
  <si>
    <t>Purworejo</t>
  </si>
  <si>
    <t>Kalibaru</t>
  </si>
  <si>
    <t xml:space="preserve">Cilodong </t>
  </si>
  <si>
    <t>Subur Jianto</t>
  </si>
  <si>
    <t>subur.jianto@gmail.com</t>
  </si>
  <si>
    <t>0000004918</t>
  </si>
  <si>
    <t>08111227483</t>
  </si>
  <si>
    <t>Pati</t>
  </si>
  <si>
    <t>Tamanrahayu</t>
  </si>
  <si>
    <t>Angga Gunawan</t>
  </si>
  <si>
    <t>anggagunawan947@gmail.com</t>
  </si>
  <si>
    <t>0043313900</t>
  </si>
  <si>
    <t>082339489760</t>
  </si>
  <si>
    <t>Narmada</t>
  </si>
  <si>
    <t xml:space="preserve">Kebon Manggis </t>
  </si>
  <si>
    <t>Muhammad Reza Nur Rizqi</t>
  </si>
  <si>
    <t>rezakedungjambe86@gmail.com</t>
  </si>
  <si>
    <t>0020950999</t>
  </si>
  <si>
    <t>082245823266</t>
  </si>
  <si>
    <t>KedungJambe</t>
  </si>
  <si>
    <t>Singgahan</t>
  </si>
  <si>
    <t>Sujoni</t>
  </si>
  <si>
    <t>sjonay12@gmail.com</t>
  </si>
  <si>
    <t>0000011269</t>
  </si>
  <si>
    <t>08156620629</t>
  </si>
  <si>
    <t xml:space="preserve">Srengseng Sawah </t>
  </si>
  <si>
    <t>Edi Lestio</t>
  </si>
  <si>
    <t>edilestio77@gmail.com</t>
  </si>
  <si>
    <t>0000931189</t>
  </si>
  <si>
    <t>08122177105</t>
  </si>
  <si>
    <t>Srondol Kulon</t>
  </si>
  <si>
    <t>Banyumanik</t>
  </si>
  <si>
    <t>Ma'ruf Fathurachman Shaleh</t>
  </si>
  <si>
    <t>maruffs22@gmail.com</t>
  </si>
  <si>
    <t>0091010079</t>
  </si>
  <si>
    <t>081282493241</t>
  </si>
  <si>
    <t>Ciketingudik</t>
  </si>
  <si>
    <t>Bantargebang</t>
  </si>
  <si>
    <t>La Ode Aji</t>
  </si>
  <si>
    <t>abitlaode07@gmail.com</t>
  </si>
  <si>
    <t>0000006548</t>
  </si>
  <si>
    <t>081222124086</t>
  </si>
  <si>
    <t>Sulawesi Tenggara</t>
  </si>
  <si>
    <t xml:space="preserve">Tomang </t>
  </si>
  <si>
    <t>Edgar Alana Putra</t>
  </si>
  <si>
    <t>psychopath.ed01@gmail.com</t>
  </si>
  <si>
    <t>0008110498</t>
  </si>
  <si>
    <t>087780251522</t>
  </si>
  <si>
    <t>Solok</t>
  </si>
  <si>
    <t>Prasetiyo Regzi Ade Kurniawan</t>
  </si>
  <si>
    <t>setyo7327@gmail.com</t>
  </si>
  <si>
    <t>0056668739</t>
  </si>
  <si>
    <t>089510740793</t>
  </si>
  <si>
    <t>Bojongsari</t>
  </si>
  <si>
    <t>Budi Sulistiono</t>
  </si>
  <si>
    <t>budiabiyoso@gmail.com</t>
  </si>
  <si>
    <t>0000002002</t>
  </si>
  <si>
    <t>082111115915</t>
  </si>
  <si>
    <t>Ari Gunawan</t>
  </si>
  <si>
    <t>gunawan.ary147@gmail.com</t>
  </si>
  <si>
    <t>0012830304</t>
  </si>
  <si>
    <t>087711101731</t>
  </si>
  <si>
    <t>Jatimurni</t>
  </si>
  <si>
    <t>Jon Rikardo Simamora</t>
  </si>
  <si>
    <t>morajonga@gmail.com</t>
  </si>
  <si>
    <t>0000007045</t>
  </si>
  <si>
    <t>081285835559</t>
  </si>
  <si>
    <t>Tapanuli</t>
  </si>
  <si>
    <t xml:space="preserve">Cipayung </t>
  </si>
  <si>
    <t>Gagah Hardiansyah</t>
  </si>
  <si>
    <t>gagahhardiansyah@gmail.com</t>
  </si>
  <si>
    <t>0000011383</t>
  </si>
  <si>
    <t>082197749588</t>
  </si>
  <si>
    <t>Kedaung Kali Angke</t>
  </si>
  <si>
    <t>Rama Dwi Wagendra</t>
  </si>
  <si>
    <t>ramawagendra86@gmail.com</t>
  </si>
  <si>
    <t>0000002308</t>
  </si>
  <si>
    <t>085710520004</t>
  </si>
  <si>
    <t>Batu Ampar</t>
  </si>
  <si>
    <t>Kramat Jati</t>
  </si>
  <si>
    <t>TH006</t>
  </si>
  <si>
    <t>TH003</t>
  </si>
  <si>
    <t>TH001</t>
  </si>
  <si>
    <t>TH008</t>
  </si>
  <si>
    <t>TH004</t>
  </si>
  <si>
    <t>TH009</t>
  </si>
  <si>
    <t>village_code</t>
  </si>
  <si>
    <t>Code Religion</t>
  </si>
  <si>
    <t>district_code</t>
  </si>
  <si>
    <t>code_stihs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</si>
</sst>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0&quot;#"/>
    <numFmt numFmtId="165" formatCode="yyyy\-mm\-dd"/>
    <numFmt numFmtId="166" formatCode="dd\-mm\-yyyy"/>
  </numFmts>
  <fonts count="23">
    <font>
      <sz val="12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Roboto"/>
    </font>
    <font>
      <sz val="11"/>
      <color rgb="FF000000"/>
      <name val="Arial"/>
      <family val="2"/>
    </font>
    <font>
      <sz val="11"/>
      <name val="Roboto"/>
    </font>
    <font>
      <sz val="11"/>
      <name val="Arial"/>
      <family val="2"/>
      <charset val="1"/>
    </font>
    <font>
      <sz val="11"/>
      <color theme="1"/>
      <name val="&quot;Source Sans Pro&quot;"/>
    </font>
    <font>
      <sz val="11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name val="Arial"/>
      <family val="2"/>
      <scheme val="major"/>
    </font>
    <font>
      <sz val="12"/>
      <color theme="1"/>
      <name val="Arial"/>
      <family val="2"/>
      <scheme val="major"/>
    </font>
    <font>
      <sz val="11"/>
      <name val="Arial"/>
      <family val="2"/>
    </font>
    <font>
      <sz val="12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4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quotePrefix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164" fontId="8" fillId="0" borderId="6" xfId="0" quotePrefix="1" applyNumberFormat="1" applyFont="1" applyBorder="1" applyAlignment="1">
      <alignment horizontal="left" vertical="center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0" fontId="8" fillId="0" borderId="6" xfId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8" fillId="0" borderId="6" xfId="0" quotePrefix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164" fontId="8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64" fontId="8" fillId="0" borderId="6" xfId="0" applyNumberFormat="1" applyFont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quotePrefix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vertical="center"/>
    </xf>
    <xf numFmtId="0" fontId="8" fillId="5" borderId="6" xfId="0" quotePrefix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7" borderId="6" xfId="0" quotePrefix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4" fillId="5" borderId="6" xfId="0" quotePrefix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6" fillId="0" borderId="6" xfId="0" applyFont="1" applyBorder="1" applyAlignment="1">
      <alignment vertical="center"/>
    </xf>
    <xf numFmtId="0" fontId="15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/>
    </xf>
    <xf numFmtId="0" fontId="19" fillId="0" borderId="6" xfId="0" applyFont="1" applyBorder="1" applyAlignment="1">
      <alignment vertical="center" wrapText="1"/>
    </xf>
    <xf numFmtId="0" fontId="17" fillId="0" borderId="6" xfId="0" quotePrefix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quotePrefix="1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20" fillId="0" borderId="6" xfId="0" applyFont="1" applyBorder="1"/>
    <xf numFmtId="0" fontId="18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2" fillId="0" borderId="6" xfId="0" quotePrefix="1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6" xfId="0" applyBorder="1"/>
    <xf numFmtId="0" fontId="21" fillId="0" borderId="8" xfId="0" applyFont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/>
    </xf>
    <xf numFmtId="0" fontId="16" fillId="8" borderId="4" xfId="0" applyFont="1" applyFill="1" applyBorder="1" applyAlignment="1">
      <alignment horizontal="left" vertical="center"/>
    </xf>
    <xf numFmtId="0" fontId="16" fillId="8" borderId="4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6" xfId="1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14" fontId="16" fillId="0" borderId="6" xfId="0" applyNumberFormat="1" applyFont="1" applyBorder="1" applyAlignment="1">
      <alignment horizontal="left" vertical="center"/>
    </xf>
    <xf numFmtId="0" fontId="22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 wrapText="1"/>
    </xf>
    <xf numFmtId="1" fontId="16" fillId="8" borderId="4" xfId="0" applyNumberFormat="1" applyFont="1" applyFill="1" applyBorder="1" applyAlignment="1">
      <alignment horizontal="center" vertical="center"/>
    </xf>
    <xf numFmtId="1" fontId="16" fillId="0" borderId="4" xfId="0" applyNumberFormat="1" applyFont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vertical="center"/>
    </xf>
    <xf numFmtId="0" fontId="8" fillId="0" borderId="12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wrapText="1"/>
    </xf>
    <xf numFmtId="0" fontId="16" fillId="9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vertical="center"/>
    </xf>
    <xf numFmtId="0" fontId="8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vertical="center"/>
    </xf>
    <xf numFmtId="0" fontId="8" fillId="8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left" vertical="center"/>
    </xf>
    <xf numFmtId="0" fontId="11" fillId="8" borderId="4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vertical="center"/>
    </xf>
    <xf numFmtId="0" fontId="8" fillId="8" borderId="13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6" fontId="8" fillId="0" borderId="6" xfId="0" applyNumberFormat="1" applyFont="1" applyBorder="1" applyAlignment="1">
      <alignment horizontal="center" vertical="center"/>
    </xf>
    <xf numFmtId="166" fontId="8" fillId="0" borderId="6" xfId="0" quotePrefix="1" applyNumberFormat="1" applyFont="1" applyBorder="1" applyAlignment="1">
      <alignment horizontal="center" vertical="center"/>
    </xf>
    <xf numFmtId="166" fontId="17" fillId="0" borderId="6" xfId="0" applyNumberFormat="1" applyFont="1" applyBorder="1" applyAlignment="1">
      <alignment horizontal="center" vertical="center"/>
    </xf>
    <xf numFmtId="166" fontId="17" fillId="0" borderId="6" xfId="0" quotePrefix="1" applyNumberFormat="1" applyFont="1" applyBorder="1" applyAlignment="1">
      <alignment horizontal="center" vertical="center"/>
    </xf>
    <xf numFmtId="166" fontId="8" fillId="0" borderId="9" xfId="0" applyNumberFormat="1" applyFont="1" applyBorder="1" applyAlignment="1">
      <alignment horizontal="center" vertical="center"/>
    </xf>
    <xf numFmtId="166" fontId="16" fillId="8" borderId="4" xfId="0" applyNumberFormat="1" applyFont="1" applyFill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6" fontId="11" fillId="8" borderId="4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8" fillId="8" borderId="4" xfId="0" applyNumberFormat="1" applyFont="1" applyFill="1" applyBorder="1" applyAlignment="1">
      <alignment horizontal="center" vertical="center"/>
    </xf>
    <xf numFmtId="166" fontId="8" fillId="0" borderId="4" xfId="0" applyNumberFormat="1" applyFont="1" applyBorder="1" applyAlignment="1">
      <alignment horizontal="center" vertical="center"/>
    </xf>
    <xf numFmtId="166" fontId="8" fillId="8" borderId="13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25847CE5-D958-4184-96C9-A976E55F0E95}"/>
  </cellStyles>
  <dxfs count="37"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family val="2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D9D9D9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%20O%20E%20L/AppData/Local/Packages/5319275A.WhatsAppDesktop_cv1g1gvanyjgm/LocalState/sessions/AB52DD6BEBB719AD7F03B764BED312AA762A146F/transfers/2025-52/DATA%20MAHASISWA%2022-25%20STIH%20ADHYAKSA%20(AKADEMIA)%20BACKU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MAHASISWA%2022-25%20STIH%20ADHYAKSA%20(AKADEMIA)%20BA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2024"/>
      <sheetName val="25-26"/>
      <sheetName val="25-26 ACUAN"/>
      <sheetName val="SMA"/>
      <sheetName val="TABEL SMA"/>
      <sheetName val="BEASISWA"/>
      <sheetName val="TABEL BEASISWA"/>
      <sheetName val="DATA OLAHAN"/>
    </sheetNames>
    <sheetDataSet>
      <sheetData sheetId="0"/>
      <sheetData sheetId="1"/>
      <sheetData sheetId="2">
        <row r="2">
          <cell r="N2" t="str">
            <v>JL RAYA AL GG RIDHO 2 NO 46 RT 4 RW 1 JATIRANGGON JATISAMPURNA KOTA BEKASI</v>
          </cell>
        </row>
      </sheetData>
      <sheetData sheetId="3"/>
      <sheetData sheetId="4">
        <row r="8">
          <cell r="C8" t="str">
            <v>REZA ADI HIOCTAVA DARSANA</v>
          </cell>
          <cell r="D8" t="str">
            <v>SMA NEGERI 2 DEPOK</v>
          </cell>
        </row>
        <row r="9">
          <cell r="C9" t="str">
            <v>RAFI ASHTARI MUSYAFFA</v>
          </cell>
          <cell r="D9" t="str">
            <v>SMK NEGERI 51 JAKARTA</v>
          </cell>
        </row>
        <row r="10">
          <cell r="C10" t="str">
            <v>MUHAMMAD FARIDH HAKIM HIDAYAT</v>
          </cell>
          <cell r="D10" t="str">
            <v>QUR'ANIC SCHOOL OF DEWAN DA'WAH JAKARTA TIMUR</v>
          </cell>
        </row>
        <row r="11">
          <cell r="C11" t="str">
            <v>MUHAMMAD JAVIER RIANSYAH</v>
          </cell>
          <cell r="D11" t="str">
            <v>PKBM SUKSES JAKARTA SELATAN</v>
          </cell>
        </row>
        <row r="12">
          <cell r="C12" t="str">
            <v>CIPTA EKALASARI RAHMAWATI</v>
          </cell>
          <cell r="D12" t="str">
            <v>SMA NEGERI 1 CEPU JAWA TENGAH</v>
          </cell>
        </row>
        <row r="13">
          <cell r="C13" t="str">
            <v>FERDINATA DANENDRA PRASTISTHA</v>
          </cell>
          <cell r="D13" t="str">
            <v>SMA NEGERI 5 MATARAM NTB</v>
          </cell>
        </row>
        <row r="14">
          <cell r="C14" t="str">
            <v>FRANS TITO PANGIHUTAN SITOMPUL</v>
          </cell>
          <cell r="D14" t="str">
            <v>SMA NEGERI 4 MEDAN SUMATERA UTARA</v>
          </cell>
        </row>
        <row r="15">
          <cell r="C15" t="str">
            <v>MOHAMMAD FADLI TAUFIQURRAHMAN</v>
          </cell>
          <cell r="D15" t="str">
            <v>SMA NEGERI 1 PAGADEN JAWA BARAT</v>
          </cell>
        </row>
        <row r="16">
          <cell r="C16" t="str">
            <v>INDRA SETIAWAN</v>
          </cell>
          <cell r="D16" t="str">
            <v>SMU GIKI 1 SURABAYA</v>
          </cell>
        </row>
        <row r="17">
          <cell r="C17" t="str">
            <v>FAHMIL QUR'AN TUASIKAL</v>
          </cell>
          <cell r="D17" t="str">
            <v xml:space="preserve">MAN 1 KOTA BOGOR </v>
          </cell>
        </row>
        <row r="18">
          <cell r="C18" t="str">
            <v>HAFIZ SYAFRUDIN</v>
          </cell>
          <cell r="D18" t="str">
            <v>TIDAK LENGKAP</v>
          </cell>
        </row>
        <row r="19">
          <cell r="C19" t="str">
            <v>MOHAMAD MAHENDRA RYOWIJAYA</v>
          </cell>
          <cell r="D19" t="str">
            <v>PKBM KI HAJAR DEWANTARA BANTEN</v>
          </cell>
        </row>
        <row r="20">
          <cell r="C20" t="str">
            <v>QINAN FARABI</v>
          </cell>
          <cell r="D20" t="str">
            <v>SMA NEGERI 12 MAKASSSAR</v>
          </cell>
        </row>
        <row r="21">
          <cell r="C21" t="str">
            <v>AHMAD SODIQIN</v>
          </cell>
          <cell r="D21" t="str">
            <v>SMA NEGERI 12 MAKASSAR</v>
          </cell>
        </row>
        <row r="22">
          <cell r="C22" t="str">
            <v>PRADHANA MAHARDHIKA SWASTYAYANA</v>
          </cell>
          <cell r="D22" t="str">
            <v xml:space="preserve">SMA NEGERI 5 MADIUN </v>
          </cell>
        </row>
        <row r="23">
          <cell r="C23" t="str">
            <v>RICHIE STEPHEN HENRIZAL</v>
          </cell>
          <cell r="D23" t="str">
            <v>SMA TAMAN HARAPAN BEKASI</v>
          </cell>
        </row>
        <row r="24">
          <cell r="C24" t="str">
            <v>AGUSTORI</v>
          </cell>
          <cell r="D24" t="str">
            <v>SMA XAVERIUS 1 PALEMBANG</v>
          </cell>
        </row>
        <row r="25">
          <cell r="C25" t="str">
            <v>NAFHAN ADHYAKSA PRAKASA AMIN</v>
          </cell>
          <cell r="D25" t="str">
            <v>SMA KEMALA BHAYANGKARI 1</v>
          </cell>
        </row>
        <row r="26">
          <cell r="C26" t="str">
            <v>ZUHRAH ANNAFIRA</v>
          </cell>
          <cell r="D26" t="str">
            <v>SMA NEGERI 99 JAKARTA TIMUR</v>
          </cell>
        </row>
        <row r="27">
          <cell r="C27" t="str">
            <v>NONI RIHHADATUL AISYA</v>
          </cell>
          <cell r="D27" t="str">
            <v>SMA YADIKA II JATIRANGGA JAWA BARAT</v>
          </cell>
        </row>
        <row r="28">
          <cell r="C28" t="str">
            <v>TIARA PUTRI MASTHURINE</v>
          </cell>
          <cell r="D28" t="str">
            <v>SMA NEGERI 9 TANGERANG SELATAN</v>
          </cell>
        </row>
        <row r="29">
          <cell r="C29" t="str">
            <v>NI KETUT AYU INTANNA DEWI</v>
          </cell>
          <cell r="D29" t="str">
            <v>SMA PGRI 2 DENPASAR</v>
          </cell>
        </row>
        <row r="30">
          <cell r="C30" t="str">
            <v>MICHELLE MARIA RENATA DE FRETES</v>
          </cell>
          <cell r="D30" t="str">
            <v>SMA NEGERI 12 AMBON</v>
          </cell>
        </row>
        <row r="31">
          <cell r="C31" t="str">
            <v>HILWANI</v>
          </cell>
          <cell r="D31" t="str">
            <v>SMU YP-KARYA BANTEN</v>
          </cell>
        </row>
        <row r="32">
          <cell r="C32" t="str">
            <v>ANDI MAULANA FAJAR SYAH</v>
          </cell>
          <cell r="D32" t="str">
            <v>SMA NEGERI 1 SUNGGUMINASI</v>
          </cell>
        </row>
        <row r="33">
          <cell r="C33" t="str">
            <v>ALDIO SANJAYA</v>
          </cell>
          <cell r="D33" t="str">
            <v xml:space="preserve">SMA NEGERI 9 DEPOK </v>
          </cell>
        </row>
        <row r="34">
          <cell r="C34" t="str">
            <v>MUHAMMAD REZA FAHLEVI</v>
          </cell>
          <cell r="D34" t="str">
            <v>SMA NEGERI 2 TAMBUN SELATAN</v>
          </cell>
        </row>
        <row r="35">
          <cell r="C35" t="str">
            <v>ROBBY PUTRA PRIYATNA</v>
          </cell>
          <cell r="D35" t="str">
            <v>SMK YAPIMDA JAKARTA SELATAN</v>
          </cell>
        </row>
        <row r="36">
          <cell r="C36" t="str">
            <v>FAHMI ALAMSYAH</v>
          </cell>
          <cell r="D36" t="str">
            <v>SMK PEMBANGUNAN JAYA - YAKAPI</v>
          </cell>
        </row>
        <row r="37">
          <cell r="C37" t="str">
            <v>JAINAL AZHARI BATUBARA</v>
          </cell>
          <cell r="D37" t="str">
            <v>MAS AL-KAUTSAR AL-AKBAR MEDAN</v>
          </cell>
        </row>
        <row r="38">
          <cell r="C38" t="str">
            <v>MUHAMMAD HARIS</v>
          </cell>
          <cell r="D38" t="str">
            <v>SMK UTAMA BAKTI PALEMBANG</v>
          </cell>
        </row>
        <row r="39">
          <cell r="C39" t="str">
            <v>FEBRRYANSYAH RAMADHAN</v>
          </cell>
          <cell r="D39" t="str">
            <v>SATYA BHAKTI II DKI JAKARTA</v>
          </cell>
        </row>
        <row r="40">
          <cell r="C40" t="str">
            <v>MUHAMMAD AL-QODRI</v>
          </cell>
          <cell r="D40" t="str">
            <v>SMA NEGERI 4 METRO</v>
          </cell>
        </row>
        <row r="41">
          <cell r="C41" t="str">
            <v>UMAR AHMAD ZAIN</v>
          </cell>
          <cell r="D41" t="str">
            <v>MTQ ISY KARIMA JAWA TENGAH</v>
          </cell>
        </row>
        <row r="42">
          <cell r="C42" t="str">
            <v>RIKA MUARA</v>
          </cell>
          <cell r="D42" t="str">
            <v>SMA NEGERI 2 KOTA BUMI</v>
          </cell>
        </row>
        <row r="43">
          <cell r="C43" t="str">
            <v>MATULESY SETYO NUGROHO</v>
          </cell>
          <cell r="D43" t="str">
            <v>SMA NEGERI 3 WONOGIRI</v>
          </cell>
        </row>
        <row r="44">
          <cell r="C44" t="str">
            <v>MUHAMMAD RIZKI ANANDA</v>
          </cell>
          <cell r="D44" t="str">
            <v>SMA BAKTI IDHATA JAKARTA SELATAN</v>
          </cell>
        </row>
        <row r="45">
          <cell r="C45" t="str">
            <v>RIFI KHUSNAN MUAWARD</v>
          </cell>
          <cell r="D45" t="str">
            <v>SMA NEGERI 2 CIREBON</v>
          </cell>
        </row>
        <row r="46">
          <cell r="C46" t="str">
            <v>DITA PERTIWI</v>
          </cell>
          <cell r="D46" t="str">
            <v>SMAN 1 KOLAKA SULAWESI TENGGARA</v>
          </cell>
        </row>
        <row r="47">
          <cell r="C47" t="str">
            <v>MUHAMMAD RAFLY DWITAMA</v>
          </cell>
          <cell r="D47" t="str">
            <v>SMA AL KAUTSAR BANDAR LAMPUNG</v>
          </cell>
        </row>
        <row r="48">
          <cell r="C48" t="str">
            <v>ANGELINA SENDY RUMONDOR</v>
          </cell>
          <cell r="D48" t="str">
            <v>SMA NEGERI 1 TOMOHON SULAWESI UTARA</v>
          </cell>
        </row>
        <row r="49">
          <cell r="C49" t="str">
            <v>BINTANG JAMBI PUTRA</v>
          </cell>
          <cell r="D49" t="str">
            <v>SMA SWASTA PEMBANGUNAN YPWI JAMBI</v>
          </cell>
        </row>
        <row r="50">
          <cell r="C50" t="str">
            <v>ILHAM SAWALDI</v>
          </cell>
          <cell r="D50" t="str">
            <v>SMA NEGERI 1 PADANGPANJANG</v>
          </cell>
        </row>
        <row r="51">
          <cell r="C51" t="str">
            <v>DARIN AL DZAMIRA</v>
          </cell>
          <cell r="D51" t="str">
            <v>SMA NEGERI 3 PANGKALPINANG</v>
          </cell>
        </row>
        <row r="52">
          <cell r="C52" t="str">
            <v>ARIF FIRMANSYAH</v>
          </cell>
          <cell r="D52" t="str">
            <v>SMK NEGERI 1 BATAM</v>
          </cell>
        </row>
        <row r="53">
          <cell r="C53" t="str">
            <v>DWI RATU PRATIWI RAYA PAILIN</v>
          </cell>
          <cell r="D53" t="str">
            <v>SMA NEGERI 1 MAMUJU SLAWESI BARAT</v>
          </cell>
        </row>
        <row r="54">
          <cell r="C54" t="str">
            <v>AGUNG HIDAYATULLAH</v>
          </cell>
          <cell r="D54" t="str">
            <v>SMA NEGERI 4 LAHAT</v>
          </cell>
        </row>
        <row r="55">
          <cell r="C55" t="str">
            <v>ATIKA HILWA AFLI</v>
          </cell>
          <cell r="D55" t="str">
            <v>SMA NEGERI 1 BANGKINANG KOTA</v>
          </cell>
        </row>
        <row r="56">
          <cell r="C56" t="str">
            <v>RICKO DWI NUGROHO</v>
          </cell>
          <cell r="D56" t="str">
            <v>SMA NEGERI 4 KOTA TANGERANG SELATAN</v>
          </cell>
        </row>
        <row r="57">
          <cell r="C57" t="str">
            <v>NAZLA TURAHMA SYAHDILLA</v>
          </cell>
          <cell r="D57" t="str">
            <v xml:space="preserve">SMA NEGERI 3 SUKABUMI JAWA BARAT </v>
          </cell>
        </row>
        <row r="58">
          <cell r="C58" t="str">
            <v>ERDY PRANOTO</v>
          </cell>
          <cell r="D58" t="str">
            <v>SMK NEGERI 1 TANJUNG PINANG</v>
          </cell>
        </row>
        <row r="59">
          <cell r="C59" t="str">
            <v>AGUNG MUHAMMAD</v>
          </cell>
          <cell r="D59" t="str">
            <v>SMK SMTI PADANG SUMATERA BARAT</v>
          </cell>
        </row>
        <row r="60">
          <cell r="C60" t="str">
            <v>CHELSYLIA IVANA BR SIHITE</v>
          </cell>
          <cell r="D60" t="str">
            <v>SMA PLUS SEDAYU NUSANTARA MEDAN</v>
          </cell>
        </row>
        <row r="61">
          <cell r="C61" t="str">
            <v>NADILA ACHMAD</v>
          </cell>
          <cell r="D61" t="str">
            <v>SMA NEGERI 1 TIDORE KEPULAUAN MALUKU UTARA</v>
          </cell>
        </row>
        <row r="62">
          <cell r="C62" t="str">
            <v>KAREL GILBERT TOBING</v>
          </cell>
          <cell r="D62" t="str">
            <v>SMA NEGERI 2 BINJAI SUMATERA UTARA</v>
          </cell>
        </row>
        <row r="63">
          <cell r="C63" t="str">
            <v>SATRIO PRABOWO</v>
          </cell>
          <cell r="D63" t="str">
            <v>GRAFIKA YAYASAN LEKTUR</v>
          </cell>
        </row>
        <row r="64">
          <cell r="C64" t="str">
            <v>CINTA SEKAR KINANTI</v>
          </cell>
          <cell r="D64" t="str">
            <v>SMA PUTRA BANGSA DEPOK</v>
          </cell>
        </row>
        <row r="65">
          <cell r="C65" t="str">
            <v>FERNANDO DWI PUTRA</v>
          </cell>
          <cell r="D65" t="str">
            <v>SMA NEGERI 54 JAKARTA</v>
          </cell>
        </row>
        <row r="66">
          <cell r="C66" t="str">
            <v>RISKI SEPTIAWAN</v>
          </cell>
          <cell r="D66" t="str">
            <v>MAN 1 OKU SUMATERA SELATAN</v>
          </cell>
        </row>
        <row r="67">
          <cell r="C67" t="str">
            <v>ANANDA SALWA SARI</v>
          </cell>
          <cell r="D67" t="str">
            <v>SMK NEGERI 4 BEKASI</v>
          </cell>
        </row>
        <row r="68">
          <cell r="C68" t="str">
            <v>Kristomos Daniel Halason Sihombing</v>
          </cell>
          <cell r="D68" t="str">
            <v>SMK PASKITA GLOBAL JAKARTA</v>
          </cell>
        </row>
        <row r="69">
          <cell r="C69" t="str">
            <v>Nabilla Rifda Nathania</v>
          </cell>
          <cell r="D69" t="str">
            <v>SMA ISLAM PB SOEDIRMAN</v>
          </cell>
        </row>
        <row r="70">
          <cell r="C70" t="str">
            <v>Opal Nanda Putra</v>
          </cell>
          <cell r="D70" t="str">
            <v>SMA NEGERI 1 SIKAP DALAM EMPAT LAWANG SUMATERA SELATAN</v>
          </cell>
        </row>
        <row r="71">
          <cell r="C71" t="str">
            <v>Muhammad Hidayat</v>
          </cell>
          <cell r="D71" t="str">
            <v>SMA NEGERI 1 SELUMA</v>
          </cell>
        </row>
        <row r="72">
          <cell r="C72" t="str">
            <v>Phedro Andreano</v>
          </cell>
          <cell r="D72" t="str">
            <v>SMK ISLAM PB SOEDIRMAN 1</v>
          </cell>
        </row>
        <row r="73">
          <cell r="C73" t="str">
            <v>Javon Emily Maniagasi</v>
          </cell>
          <cell r="D73" t="str">
            <v>SMA NEGERI 4 JAYAPURA</v>
          </cell>
        </row>
        <row r="74">
          <cell r="C74" t="str">
            <v>Muhammad Kelvin Lastoro</v>
          </cell>
          <cell r="D74" t="str">
            <v>SMA NEGERI 1 TEMBILAHAN HULU</v>
          </cell>
        </row>
        <row r="75">
          <cell r="C75" t="str">
            <v>Diemas Kresna Duta</v>
          </cell>
          <cell r="D75" t="str">
            <v>SMA SWASTA GONZAGA JAKARTA SELATAN</v>
          </cell>
        </row>
        <row r="76">
          <cell r="C76" t="str">
            <v>Simon Pangihutan Simorangkir</v>
          </cell>
          <cell r="D76" t="str">
            <v>SMA NEGERI 3 PALU</v>
          </cell>
        </row>
        <row r="77">
          <cell r="C77" t="str">
            <v>AMELIA</v>
          </cell>
          <cell r="D77" t="str">
            <v>SMA QUANTUM INTI INDONESIA</v>
          </cell>
        </row>
        <row r="78">
          <cell r="C78" t="str">
            <v>ANANDA DESAFA PUTRI</v>
          </cell>
          <cell r="D78" t="str">
            <v xml:space="preserve">SMA NEGERI 5 KERAWANG </v>
          </cell>
        </row>
        <row r="79">
          <cell r="C79" t="str">
            <v>ANDINI IKA PRIMANINGRUM</v>
          </cell>
          <cell r="D79" t="str">
            <v>SMK NEGERI 1 GOMBONG</v>
          </cell>
        </row>
        <row r="80">
          <cell r="C80" t="str">
            <v>ARIEL GIOVANNI KAMBU</v>
          </cell>
          <cell r="D80" t="str">
            <v>SMA NEGERI 3 KOTA SORONG</v>
          </cell>
        </row>
        <row r="81">
          <cell r="C81" t="str">
            <v>ARYA NUGRAHA</v>
          </cell>
          <cell r="D81" t="str">
            <v>SMAN 8 DEPOK</v>
          </cell>
        </row>
        <row r="82">
          <cell r="C82" t="str">
            <v>ATHALLAH FATTAH PUTRA</v>
          </cell>
          <cell r="D82" t="str">
            <v xml:space="preserve">SMA MUHAMMADIYAH 3 JAKARTA </v>
          </cell>
        </row>
        <row r="83">
          <cell r="C83" t="str">
            <v>BINTANG ARYA PUTRA</v>
          </cell>
          <cell r="D83" t="str">
            <v>SMA NEGERI 6 KOTA BEKASI</v>
          </cell>
        </row>
        <row r="84">
          <cell r="C84" t="str">
            <v>BINTANG FAIRUZ FIRDAUS</v>
          </cell>
          <cell r="D84" t="str">
            <v>SMA NEGERI 1 KOTA SERANG</v>
          </cell>
        </row>
        <row r="85">
          <cell r="C85" t="str">
            <v>CORDOVA BAGINDA BAJURI HARUN</v>
          </cell>
          <cell r="D85" t="str">
            <v>SMA A. WAHID HASYIM TEBUIRENG</v>
          </cell>
        </row>
        <row r="86">
          <cell r="C86" t="str">
            <v>DAVID JAFRA RAVANEZA</v>
          </cell>
          <cell r="D86" t="str">
            <v>SMA NEGERI 6 KOTA TANGERANG SELATAN</v>
          </cell>
        </row>
        <row r="87">
          <cell r="C87" t="str">
            <v>FARREL ARDAN BIANTORO</v>
          </cell>
          <cell r="D87" t="str">
            <v>PONDOK MODERN DARUSSALAM GONTOR</v>
          </cell>
        </row>
        <row r="88">
          <cell r="C88" t="str">
            <v>FIGO FAHMI</v>
          </cell>
          <cell r="D88" t="str">
            <v>SMAN 9 JAKARTA</v>
          </cell>
        </row>
        <row r="89">
          <cell r="C89" t="str">
            <v>GERALD AXEL MATTHEW MONOARFA</v>
          </cell>
          <cell r="D89" t="str">
            <v>SMAN 66 JAKARTA SELATAN</v>
          </cell>
        </row>
        <row r="90">
          <cell r="C90" t="str">
            <v>GINA RIZKI AMELIA</v>
          </cell>
          <cell r="D90" t="str">
            <v>MAN DARUL AMSOR</v>
          </cell>
        </row>
        <row r="91">
          <cell r="C91" t="str">
            <v>HANI QONITAH</v>
          </cell>
          <cell r="D91" t="str">
            <v xml:space="preserve">SMAN 36 JAKARTA TIMUR </v>
          </cell>
        </row>
        <row r="92">
          <cell r="C92" t="str">
            <v>JIHANAIFAH ISLAMI SALSABILA</v>
          </cell>
          <cell r="D92" t="str">
            <v>MAS MUALLIMIN MUHAMMADIYAH BANGKINANG</v>
          </cell>
        </row>
        <row r="93">
          <cell r="C93" t="str">
            <v>KALISFAN SEBASTIANUS SEBO</v>
          </cell>
          <cell r="D93" t="str">
            <v>SMA ST. CLEMENS BOAWAE</v>
          </cell>
        </row>
        <row r="94">
          <cell r="C94" t="str">
            <v>LAURENCE RACHEL PATRICIA TAMPUBOLON</v>
          </cell>
          <cell r="D94" t="str">
            <v>SMAN 8 KOTA BEKASI</v>
          </cell>
        </row>
        <row r="95">
          <cell r="C95" t="str">
            <v>M FAJRI PRATAMA</v>
          </cell>
          <cell r="D95" t="str">
            <v>SMA KARYA PENGALIHAN</v>
          </cell>
        </row>
        <row r="96">
          <cell r="C96" t="str">
            <v>MOHAMAD RIZQI APANI</v>
          </cell>
          <cell r="D96" t="str">
            <v>SMK SEJAHTERA</v>
          </cell>
        </row>
        <row r="97">
          <cell r="C97" t="str">
            <v>MUH ALVIN SWADANA Z</v>
          </cell>
          <cell r="D97" t="str">
            <v>INTERNATIONAL ISLAMIC HIGH SCHOOL</v>
          </cell>
        </row>
        <row r="98">
          <cell r="C98" t="str">
            <v>MUHAMMAD AZKA ADILAH</v>
          </cell>
          <cell r="D98" t="str">
            <v>SMA NERERI 1 PENAJAM PASER UTARA</v>
          </cell>
        </row>
        <row r="99">
          <cell r="C99" t="str">
            <v>NITA YULIA</v>
          </cell>
          <cell r="D99" t="str">
            <v>SMAN 1 CILIMUS</v>
          </cell>
        </row>
        <row r="100">
          <cell r="C100" t="str">
            <v>REZA GUNAWAN</v>
          </cell>
          <cell r="D100" t="str">
            <v>SMA ISLAM PB SOEDIRMAN</v>
          </cell>
        </row>
        <row r="101">
          <cell r="C101" t="str">
            <v>SABRIYANA TIFANI SIMANUNGKALIT</v>
          </cell>
          <cell r="D101" t="str">
            <v>SMAN 1 MUARA BUNGO</v>
          </cell>
        </row>
        <row r="102">
          <cell r="C102" t="str">
            <v>SAFRIANI</v>
          </cell>
          <cell r="D102" t="str">
            <v>SMA SWASTA AL MUSLIMUN</v>
          </cell>
        </row>
        <row r="103">
          <cell r="C103" t="str">
            <v>SALVIA MARSYANDA ARIZONA</v>
          </cell>
          <cell r="D103" t="str">
            <v>SMK SAHID JAKARTA</v>
          </cell>
        </row>
        <row r="104">
          <cell r="C104" t="str">
            <v>SAQIA BALQIS FADINA</v>
          </cell>
          <cell r="D104" t="str">
            <v>MA KHAERUL UMMAH</v>
          </cell>
        </row>
        <row r="105">
          <cell r="C105" t="str">
            <v>SHANIA RIVANE RAMADHANI</v>
          </cell>
          <cell r="D105" t="str">
            <v>SMAN TITIAN TERAS JAMBI</v>
          </cell>
        </row>
        <row r="106">
          <cell r="C106" t="str">
            <v>SIFAK ARDHIANSYAH</v>
          </cell>
          <cell r="D106" t="str">
            <v>SMA NEGERI 1 GURAH</v>
          </cell>
        </row>
        <row r="107">
          <cell r="C107" t="str">
            <v>SOPIYA SALWA SALSABILA</v>
          </cell>
          <cell r="D107" t="str">
            <v>MA MA'HAD AL-ZAYTUN</v>
          </cell>
        </row>
        <row r="108">
          <cell r="C108" t="str">
            <v>TASYA ROHANA</v>
          </cell>
          <cell r="D108" t="str">
            <v>SMA N 1 BOBOTSARI 2023</v>
          </cell>
        </row>
        <row r="109">
          <cell r="C109" t="str">
            <v>TRI ADI SAPUTRA</v>
          </cell>
          <cell r="D109" t="str">
            <v>SMU NEGERI 18 TANJUNG PRIOK JAKARTA UTARA</v>
          </cell>
        </row>
        <row r="110">
          <cell r="C110" t="str">
            <v>YOHANES PUTRA RANDA LABI</v>
          </cell>
          <cell r="D110" t="str">
            <v>SMKN 2 PALU</v>
          </cell>
        </row>
        <row r="111">
          <cell r="C111" t="str">
            <v>RACHEL COSTA MONICA ANSANAY</v>
          </cell>
          <cell r="D111" t="str">
            <v>SMA NEGERI 3 JAYAPURA</v>
          </cell>
        </row>
        <row r="112">
          <cell r="C112" t="str">
            <v>AMANDA DWI KUSUMA ARIFIA</v>
          </cell>
          <cell r="D112" t="str">
            <v>SMAN 2 CIMAHI</v>
          </cell>
        </row>
        <row r="113">
          <cell r="C113" t="str">
            <v>KENNETH BRIAN HATTU</v>
          </cell>
          <cell r="D113" t="str">
            <v>SMAN 32 JAKARTA</v>
          </cell>
        </row>
        <row r="114">
          <cell r="C114" t="str">
            <v>SARAH JIHAN</v>
          </cell>
          <cell r="D114" t="str">
            <v>SMA NEGERI 1 BANGKINANG KOTA</v>
          </cell>
        </row>
        <row r="115">
          <cell r="C115" t="str">
            <v>NEYLA JULIETA MANURUNG</v>
          </cell>
          <cell r="D115" t="str">
            <v>SMAN 8 PEKANBARU</v>
          </cell>
        </row>
        <row r="116">
          <cell r="C116" t="str">
            <v>ABDULLAH UMAR SYUHADA </v>
          </cell>
          <cell r="D116" t="str">
            <v>PKBM DEWAN DAKWAH</v>
          </cell>
        </row>
        <row r="117">
          <cell r="C117" t="str">
            <v>AGUNG GANI PUTRA</v>
          </cell>
          <cell r="D117" t="str">
            <v>SMK KEMALA BHAYANGKARI 1 WARU</v>
          </cell>
        </row>
        <row r="118">
          <cell r="C118" t="str">
            <v>AHMAD AZHARI DARMAWEL</v>
          </cell>
          <cell r="D118" t="str">
            <v>SMAIT NURUL FIKRI</v>
          </cell>
        </row>
        <row r="119">
          <cell r="C119" t="str">
            <v>ANDREAS GINTING</v>
          </cell>
          <cell r="D119" t="str">
            <v>SMU NEGERI 1 BERASTAGI</v>
          </cell>
        </row>
        <row r="120">
          <cell r="C120" t="str">
            <v>ASSYKAL HARBIANTORO</v>
          </cell>
          <cell r="D120" t="str">
            <v>SMA TARUNA TERPADU</v>
          </cell>
        </row>
        <row r="121">
          <cell r="C121" t="str">
            <v>DAFFA ARDIANSJAH SIREGAR</v>
          </cell>
          <cell r="D121" t="str">
            <v>SMA MUHAMMADIYAH 12</v>
          </cell>
        </row>
        <row r="122">
          <cell r="C122" t="str">
            <v>DESTA JUSTIN RUDI MALAWAT</v>
          </cell>
          <cell r="D122" t="str">
            <v>SMA DEWI SARTIKA</v>
          </cell>
        </row>
        <row r="123">
          <cell r="C123" t="str">
            <v>DHARMA RAVANSYAH</v>
          </cell>
          <cell r="D123" t="str">
            <v>SMAN 1 GUNUNG PUTRI</v>
          </cell>
        </row>
        <row r="124">
          <cell r="C124" t="str">
            <v>DHEA OLIVIA</v>
          </cell>
          <cell r="D124" t="str">
            <v>SMA NEGERI 29 JAKARTA</v>
          </cell>
        </row>
        <row r="125">
          <cell r="C125" t="str">
            <v>DIMITRYUS ALEXAS ARJUNA TAMBUNAN</v>
          </cell>
          <cell r="D125" t="str">
            <v>SMAN 59 JAKARTA</v>
          </cell>
        </row>
        <row r="126">
          <cell r="C126" t="str">
            <v>DINDA RIZKI</v>
          </cell>
          <cell r="D126" t="str">
            <v>SMA BINA SATRIA LUBUKLINGGAU</v>
          </cell>
        </row>
        <row r="127">
          <cell r="C127" t="str">
            <v>DUTA VALDYE NATA IRAWAN</v>
          </cell>
          <cell r="D127" t="str">
            <v>SMAN 20 BATAM</v>
          </cell>
        </row>
        <row r="128">
          <cell r="C128" t="str">
            <v>ETHAN ABELARDO VAN JONATHAN TAMBUNAN</v>
          </cell>
          <cell r="D128" t="str">
            <v>SMA PRESTASI PRIMA</v>
          </cell>
        </row>
        <row r="129">
          <cell r="C129" t="str">
            <v>FARREL FAUZAN PERDANA PUTRA</v>
          </cell>
          <cell r="D129" t="str">
            <v>SMAN 8 BEKASI</v>
          </cell>
        </row>
        <row r="130">
          <cell r="C130" t="str">
            <v>FIRLY LAURA ANJANI</v>
          </cell>
          <cell r="D130" t="str">
            <v>SMA PERGURUAN KSATRYA</v>
          </cell>
        </row>
        <row r="131">
          <cell r="C131" t="str">
            <v>GRICK DAVID KASTANYA</v>
          </cell>
          <cell r="D131" t="str">
            <v>SMA KARTINI 1, KEMAYORAN, JAKARTA PUSAT</v>
          </cell>
        </row>
        <row r="132">
          <cell r="C132" t="str">
            <v>KURDI</v>
          </cell>
          <cell r="D132" t="str">
            <v>SMA NEGERI 2 MEULABOH</v>
          </cell>
        </row>
        <row r="133">
          <cell r="C133" t="str">
            <v>LINTANG NAZWA NABILA</v>
          </cell>
          <cell r="D133" t="str">
            <v>SMA CHARTAR BUANA</v>
          </cell>
        </row>
        <row r="134">
          <cell r="C134" t="str">
            <v>MITHWA MUHAMMADAN BAIHAKI</v>
          </cell>
          <cell r="D134" t="str">
            <v>SMA CITRA ISLAMI</v>
          </cell>
        </row>
        <row r="135">
          <cell r="C135" t="str">
            <v>MUAMMAR KHADAFI YAHYA</v>
          </cell>
          <cell r="D135" t="str">
            <v>SMA NEGERI 8 DEPOK</v>
          </cell>
        </row>
        <row r="136">
          <cell r="C136" t="str">
            <v>MUHAMMAD FARHAN RADHITYA</v>
          </cell>
          <cell r="D136" t="str">
            <v>SMAN 1 BEKASI</v>
          </cell>
        </row>
        <row r="137">
          <cell r="C137" t="str">
            <v>MUHAMMAD HAIKAL ADHA</v>
          </cell>
          <cell r="D137" t="str">
            <v>SMAN 53 JAKARTA</v>
          </cell>
        </row>
        <row r="138">
          <cell r="C138" t="str">
            <v>NABILA AZZAH LUTHFIYYAH</v>
          </cell>
          <cell r="D138" t="str">
            <v>SMAN 53 JAKARTA</v>
          </cell>
        </row>
        <row r="139">
          <cell r="C139" t="str">
            <v>NI MADE ROSITA EMUNDS</v>
          </cell>
          <cell r="D139" t="str">
            <v>SMA NEGERI 1 GIANYAR</v>
          </cell>
        </row>
        <row r="140">
          <cell r="C140" t="str">
            <v>NUR AYUDIA HASANAH</v>
          </cell>
          <cell r="D140" t="str">
            <v>SMA NEGRI 1 KUTACANE</v>
          </cell>
        </row>
        <row r="141">
          <cell r="C141" t="str">
            <v>PUTRIE DEALOVA DEENAR PRATIWI</v>
          </cell>
          <cell r="D141" t="str">
            <v>SMKS BUDHI WARMAN 1 JAKARTA</v>
          </cell>
        </row>
        <row r="142">
          <cell r="C142" t="str">
            <v>PUTRI NABILLA</v>
          </cell>
          <cell r="D142" t="str">
            <v>SMA BUDHI WARMAN 1</v>
          </cell>
        </row>
        <row r="143">
          <cell r="C143" t="str">
            <v>QAHREMA IKRAM</v>
          </cell>
          <cell r="D143" t="str">
            <v>SMA N 1 BANGKINANG KOTA</v>
          </cell>
        </row>
        <row r="144">
          <cell r="C144" t="str">
            <v>R.A.P PUTRI SALWA SALSABILA DEWANTO</v>
          </cell>
          <cell r="D144" t="str">
            <v>MA. AS-SYAFI'IYAH 04 KOTA BEKASI</v>
          </cell>
        </row>
        <row r="145">
          <cell r="C145" t="str">
            <v>RANTI PURNAMA LISA</v>
          </cell>
          <cell r="D145" t="str">
            <v>MAS IQRA’ BARUNG - BARUNG BALANTAI</v>
          </cell>
        </row>
        <row r="146">
          <cell r="C146" t="str">
            <v>RATIH NUR SUNDARI</v>
          </cell>
          <cell r="D146" t="str">
            <v>SMA NEGERI 12 PEKANBARU</v>
          </cell>
        </row>
        <row r="147">
          <cell r="C147" t="str">
            <v>RIZKI SATRIA SANDIYUDHA</v>
          </cell>
          <cell r="D147" t="str">
            <v>SMA CITRA BERKAT</v>
          </cell>
        </row>
        <row r="148">
          <cell r="C148" t="str">
            <v>SALSABIILA SAFITRI RAMADHANI</v>
          </cell>
          <cell r="D148" t="str">
            <v>MAS MUALLIMIEN MUHAMMADIYAH JAKARTA</v>
          </cell>
        </row>
        <row r="149">
          <cell r="C149" t="str">
            <v>SYAH ALYA WIJAYA</v>
          </cell>
          <cell r="D149" t="str">
            <v>SMA NEGERI 12 JAKARTA</v>
          </cell>
        </row>
        <row r="150">
          <cell r="C150" t="str">
            <v>WAHYU DWI JATMIKO</v>
          </cell>
          <cell r="D150" t="str">
            <v>SMAN 1 PURBALINGGA, PURBALINGGA, JAWA TENGAH</v>
          </cell>
        </row>
        <row r="151">
          <cell r="C151" t="str">
            <v>ZAHRA FEBRIANTI</v>
          </cell>
          <cell r="D151" t="str">
            <v>SMAN 47 JAKARTA</v>
          </cell>
        </row>
        <row r="152">
          <cell r="C152" t="str">
            <v>ZUL KARNEN</v>
          </cell>
          <cell r="D152" t="str">
            <v>SMU NEGERI 2 DENPASAR</v>
          </cell>
        </row>
        <row r="153">
          <cell r="C153" t="str">
            <v>AISYAH GHANNIYYAH INAS</v>
          </cell>
          <cell r="D153" t="str">
            <v>SMA NEGERI 03 PALEMBANG</v>
          </cell>
        </row>
        <row r="154">
          <cell r="C154" t="str">
            <v>ANASTASYA PUTRIAN KHAIRA</v>
          </cell>
          <cell r="D154" t="str">
            <v>SMAN 11 DEPOK</v>
          </cell>
        </row>
        <row r="155">
          <cell r="C155" t="str">
            <v>BAIQ HARISA ANDINI</v>
          </cell>
          <cell r="D155" t="str">
            <v>SMKN 1 SIKUR</v>
          </cell>
        </row>
        <row r="156">
          <cell r="C156" t="str">
            <v>BESTARI KARTIKA PUTRI</v>
          </cell>
          <cell r="D156" t="str">
            <v>SMA NEGERI 2 KOTA BEKASI</v>
          </cell>
        </row>
        <row r="157">
          <cell r="C157" t="str">
            <v>DARREN PUTRA DAHANA</v>
          </cell>
          <cell r="D157" t="str">
            <v>BINA BANGSA SCHOOL PIK</v>
          </cell>
        </row>
        <row r="158">
          <cell r="C158" t="str">
            <v>DIAZ ALIF CAHYA</v>
          </cell>
          <cell r="D158" t="str">
            <v>PONDOK PESANTREN AL-ITQON</v>
          </cell>
        </row>
        <row r="159">
          <cell r="C159" t="str">
            <v>DIVA PRASETIA</v>
          </cell>
          <cell r="D159" t="str">
            <v>SMAN 21 KOTA BEKASI</v>
          </cell>
        </row>
        <row r="160">
          <cell r="C160" t="str">
            <v>EVITA NURHIDAYAH </v>
          </cell>
          <cell r="D160" t="str">
            <v>SMAN 18 JAKARTA UTARA</v>
          </cell>
        </row>
        <row r="161">
          <cell r="C161" t="str">
            <v>IBNU RIZQI SUWONDO</v>
          </cell>
          <cell r="D161" t="str">
            <v>MAS DAARUL MUGHNI AL-MAALIKI</v>
          </cell>
        </row>
        <row r="162">
          <cell r="C162" t="str">
            <v>JULIA RAIN NADA</v>
          </cell>
          <cell r="D162" t="str">
            <v>SMAN 1 PAGAR ALAM</v>
          </cell>
        </row>
        <row r="163">
          <cell r="C163" t="str">
            <v>KERENHAPUKH SIMBOLON</v>
          </cell>
          <cell r="D163" t="str">
            <v>SMAN TARUNA NALA JATIM</v>
          </cell>
        </row>
        <row r="164">
          <cell r="C164" t="str">
            <v>KHAIRUL UMAM GANDA NUSANTARA</v>
          </cell>
          <cell r="D164" t="str">
            <v xml:space="preserve">SMA NEGERI 4 KENDARI </v>
          </cell>
        </row>
        <row r="165">
          <cell r="C165" t="str">
            <v>MELANI AYU VIRANANTIKA</v>
          </cell>
          <cell r="D165" t="str">
            <v>SMK KESEHATAN BAKTI INDONESIA MEDIKA NGAWI</v>
          </cell>
        </row>
        <row r="166">
          <cell r="C166" t="str">
            <v>MOCHAMAD SURYA FADILLAH</v>
          </cell>
          <cell r="D166" t="str">
            <v>SMKN 41 JAKARTA</v>
          </cell>
        </row>
        <row r="167">
          <cell r="C167" t="str">
            <v>MUHAMAD SADAM</v>
          </cell>
          <cell r="D167" t="str">
            <v>SMK PASAR MINGGU</v>
          </cell>
        </row>
        <row r="168">
          <cell r="C168" t="str">
            <v>OCHI VIA PARMADHEA</v>
          </cell>
          <cell r="D168" t="str">
            <v>SMA NEGERI 1 PAGAR ALAM</v>
          </cell>
        </row>
        <row r="169">
          <cell r="C169" t="str">
            <v>PATRI ANSIAH SINABUTAR</v>
          </cell>
          <cell r="D169" t="str">
            <v>SMK SWASTA YAPIM TARUNA TAMBUSAI</v>
          </cell>
        </row>
        <row r="170">
          <cell r="C170" t="str">
            <v xml:space="preserve">RAFA IBRAHIM SIREGAR </v>
          </cell>
          <cell r="D170" t="str">
            <v>SMAN 1 JAKARTA</v>
          </cell>
        </row>
        <row r="171">
          <cell r="C171" t="str">
            <v>RAIHAN AQIL RINALDI</v>
          </cell>
          <cell r="D171" t="str">
            <v>MA MUALLIMIN MUHAMMADIYAH BANGKINANG KOTA</v>
          </cell>
        </row>
        <row r="172">
          <cell r="C172" t="str">
            <v>RAVINDRA</v>
          </cell>
          <cell r="D172" t="str">
            <v>SMAN 3 KARAWANG</v>
          </cell>
        </row>
        <row r="173">
          <cell r="C173" t="str">
            <v>RUHAMA NUR AZIZAH</v>
          </cell>
          <cell r="D173" t="str">
            <v>SMA NEGERI 25 JAKARTA PUSAT</v>
          </cell>
        </row>
        <row r="174">
          <cell r="C174" t="str">
            <v>TASYA BERLIANA CHINTIA</v>
          </cell>
          <cell r="D174" t="str">
            <v>SMA KEMALA BHAYANGKARI 1 JAKARTA</v>
          </cell>
        </row>
        <row r="175">
          <cell r="C175" t="str">
            <v>ABD KADIR</v>
          </cell>
          <cell r="D175" t="str">
            <v>YAPIP MAKASSAR SUNGGUMINASA, KABUPATEN GOWA</v>
          </cell>
        </row>
        <row r="176">
          <cell r="C176" t="str">
            <v>INDRIANI SARI</v>
          </cell>
          <cell r="D176" t="str">
            <v>MA BAHRUL ULUM</v>
          </cell>
        </row>
        <row r="177">
          <cell r="C177" t="str">
            <v>MUHAMMAD IQDAM HAQKIKI</v>
          </cell>
          <cell r="D177" t="str">
            <v>SMA NEGERI 1 KROYA</v>
          </cell>
        </row>
        <row r="178">
          <cell r="C178" t="str">
            <v>NATA MEILANI</v>
          </cell>
          <cell r="D178" t="str">
            <v>SMA PONDOK DAUN</v>
          </cell>
        </row>
        <row r="179">
          <cell r="C179" t="str">
            <v>NATHANIA TRIXIE MASIKOME</v>
          </cell>
          <cell r="D179" t="str">
            <v>SMA NEGERI 1 MANADO</v>
          </cell>
        </row>
        <row r="180">
          <cell r="C180" t="str">
            <v>MUHAMAD FADLI ANDRIANSYAH</v>
          </cell>
          <cell r="D180" t="str">
            <v>SMK TARUNA TERPADU 1 BOGOR</v>
          </cell>
        </row>
        <row r="181">
          <cell r="C181" t="str">
            <v>AUDY NUR FAUZIYAH</v>
          </cell>
          <cell r="D181" t="str">
            <v>SMA YAPAN INDONESIA</v>
          </cell>
        </row>
        <row r="182">
          <cell r="C182" t="str">
            <v>YUSRI NURYANTO</v>
          </cell>
          <cell r="D182" t="str">
            <v>SMA NEGERI 2 BANYUWANGI</v>
          </cell>
        </row>
        <row r="183">
          <cell r="C183" t="str">
            <v>ERRY SYAMSU</v>
          </cell>
          <cell r="D183" t="str">
            <v>SMU ADABIAH SUMATERA BARAT</v>
          </cell>
        </row>
        <row r="184">
          <cell r="C184" t="str">
            <v>DANIEL PERWATA</v>
          </cell>
          <cell r="D184" t="str">
            <v>SMA SWASTA SANTO YOSEPH</v>
          </cell>
        </row>
        <row r="185">
          <cell r="C185" t="str">
            <v>HERY NUR ROHMAT</v>
          </cell>
          <cell r="D185" t="str">
            <v>SMK SLAMET RIYADI GEMOLONG</v>
          </cell>
        </row>
        <row r="186">
          <cell r="C186" t="str">
            <v>MUHAMMAD SALMAN</v>
          </cell>
          <cell r="D186" t="str">
            <v>PKBM AL-FATAH - PAKET C</v>
          </cell>
        </row>
        <row r="187">
          <cell r="C187" t="str">
            <v>ACHMAD JUNAIDI</v>
          </cell>
          <cell r="D187" t="str">
            <v>SMA NEGERI 2 PAMEKASAH</v>
          </cell>
        </row>
        <row r="188">
          <cell r="C188" t="str">
            <v>RUS'AN</v>
          </cell>
          <cell r="D188" t="str">
            <v>SMU NEGERI TENTE</v>
          </cell>
        </row>
        <row r="189">
          <cell r="C189" t="str">
            <v>RAFFI FARID AHMAD</v>
          </cell>
          <cell r="D189" t="str">
            <v>SMA 19 BUMI SILIWANGI BANDUNG</v>
          </cell>
        </row>
        <row r="190">
          <cell r="C190" t="str">
            <v>DELA AYU SYAFITRI</v>
          </cell>
          <cell r="D190" t="str">
            <v>SMAS BINA PANGHUDI LUHUR</v>
          </cell>
        </row>
        <row r="191">
          <cell r="C191" t="str">
            <v>DIRGAHAYU MAHA RESTU</v>
          </cell>
          <cell r="D191" t="str">
            <v>SMA N 1 PANGKALPINANG</v>
          </cell>
        </row>
        <row r="192">
          <cell r="C192" t="str">
            <v>EMANUEL THOBIAS AJOI</v>
          </cell>
          <cell r="D192" t="str">
            <v>SMA NEGERI 1 NUMFOR BARAT</v>
          </cell>
        </row>
        <row r="193">
          <cell r="C193" t="str">
            <v>JACKAYDEN SYABAN ARSAD</v>
          </cell>
          <cell r="D193" t="str">
            <v>HOMESCHOOLING HSE</v>
          </cell>
        </row>
        <row r="194">
          <cell r="C194" t="str">
            <v>SAUL SERGIUS RONSUMBRE</v>
          </cell>
          <cell r="D194" t="str">
            <v>SMA KHATOLIK YOS SUDARSO BATU</v>
          </cell>
        </row>
        <row r="195">
          <cell r="C195" t="str">
            <v>TREINGGINAS AL MISBAKH BAJURI HARUN</v>
          </cell>
          <cell r="D195" t="str">
            <v>MAN 3 JOMBANG</v>
          </cell>
        </row>
        <row r="196">
          <cell r="C196" t="str">
            <v>ZHAHRA FAZRIYANI</v>
          </cell>
          <cell r="D196" t="str">
            <v>SMAN 7 KOTA DEPOK</v>
          </cell>
        </row>
        <row r="197">
          <cell r="C197" t="str">
            <v>M RISKI WINATA</v>
          </cell>
          <cell r="D197" t="str">
            <v>SMA NEGERI 78 JAKARTA</v>
          </cell>
        </row>
        <row r="198">
          <cell r="C198" t="str">
            <v>MUHAMMAD PUTERA ALIM</v>
          </cell>
          <cell r="D198" t="str">
            <v>SMAN 6 KOTA BEKASI</v>
          </cell>
        </row>
        <row r="199">
          <cell r="C199" t="str">
            <v>MUHAMAD RIZKI DHARMAWAN</v>
          </cell>
          <cell r="D199" t="str">
            <v>SMA N 1 DEPOK</v>
          </cell>
        </row>
        <row r="200">
          <cell r="C200" t="str">
            <v>GREGGI GHUFRON ADVANDO MAULANA</v>
          </cell>
          <cell r="D200" t="str">
            <v>SMA NEGERI 1 PLERET</v>
          </cell>
        </row>
        <row r="201">
          <cell r="C201" t="str">
            <v>CHANDRA ADHI NUGRAHA</v>
          </cell>
          <cell r="D201" t="str">
            <v>SMA NEGERI 1 DEPOK</v>
          </cell>
        </row>
        <row r="202">
          <cell r="C202" t="str">
            <v>BELLA PALENTIN</v>
          </cell>
          <cell r="D202" t="str">
            <v xml:space="preserve">SMA NEGERI PERISAI KUTACANE </v>
          </cell>
        </row>
        <row r="203">
          <cell r="C203" t="str">
            <v>REVALINA ZHALIKA MARSYA</v>
          </cell>
          <cell r="D203" t="str">
            <v>SMA NEGERI 2 KOTA TANGERANG SELATAN</v>
          </cell>
        </row>
        <row r="204">
          <cell r="C204" t="str">
            <v>MUHAMMAD TAN MALAKA</v>
          </cell>
          <cell r="D204" t="str">
            <v xml:space="preserve">SMA SWASTA PATTIMURA JAKARTA </v>
          </cell>
        </row>
        <row r="205">
          <cell r="C205" t="str">
            <v>MUHAMMAD FACHREL ALWI</v>
          </cell>
          <cell r="D205" t="str">
            <v xml:space="preserve">MA PP. DARUSSALAM SARAN KABUN </v>
          </cell>
        </row>
        <row r="206">
          <cell r="C206" t="str">
            <v>MOCHAMAD FAJAR ADIGUNA PRAKOSO</v>
          </cell>
          <cell r="D206" t="str">
            <v>SMAN 02 CIBINONG</v>
          </cell>
        </row>
        <row r="207">
          <cell r="C207" t="str">
            <v>WAHYUNINGRUM</v>
          </cell>
          <cell r="D207" t="str">
            <v>PAKET C CILINCING</v>
          </cell>
        </row>
        <row r="208">
          <cell r="C208" t="str">
            <v>SAHARA ISLAMI SYAHIDANA</v>
          </cell>
          <cell r="D208" t="str">
            <v xml:space="preserve">SMA NEGERI 1 BANGKINANG KOTA </v>
          </cell>
        </row>
        <row r="209">
          <cell r="C209" t="str">
            <v>WIRA BUDI UNGGUL PRASETYO</v>
          </cell>
          <cell r="D209" t="str">
            <v>MAN 14 JAKARTA</v>
          </cell>
        </row>
        <row r="210">
          <cell r="C210" t="str">
            <v>JIBRIL MAXZIMUS DIESEL</v>
          </cell>
          <cell r="D210" t="str">
            <v xml:space="preserve">SEKOLAH PILAR INDONESIA </v>
          </cell>
        </row>
        <row r="211">
          <cell r="C211" t="str">
            <v>NADYA AYU NINGTHIAS</v>
          </cell>
          <cell r="D211" t="str">
            <v xml:space="preserve">SMA XAVERIUS PRINGSEWU </v>
          </cell>
        </row>
        <row r="212">
          <cell r="C212" t="str">
            <v>MUAMMAR KHADAFI</v>
          </cell>
          <cell r="D212" t="str">
            <v>SMAN 8 BEKASI</v>
          </cell>
        </row>
        <row r="213">
          <cell r="C213" t="str">
            <v>MARIO SALEH</v>
          </cell>
          <cell r="D213" t="str">
            <v xml:space="preserve">SMA S NURUL ILMI PADANG SIDIMPUAN, SUMATERA UTARA </v>
          </cell>
        </row>
        <row r="214">
          <cell r="C214" t="str">
            <v>ELFELIN GUSREAN PUTRI</v>
          </cell>
          <cell r="D214" t="str">
            <v xml:space="preserve">SMA NEGERI 1 BANGKINANG KOTA </v>
          </cell>
        </row>
        <row r="215">
          <cell r="C215" t="str">
            <v>RAFFY AULIA</v>
          </cell>
          <cell r="D215" t="str">
            <v>MAN INSAN CENDIKIA ACEH TIMUR</v>
          </cell>
        </row>
        <row r="216">
          <cell r="C216" t="str">
            <v>RAFFI RIZKYTIA NOVEBRYAN</v>
          </cell>
          <cell r="D216" t="str">
            <v xml:space="preserve">SMA SWASTA PATTIMURA JAKARTA </v>
          </cell>
        </row>
        <row r="217">
          <cell r="C217" t="str">
            <v xml:space="preserve">AHMAD NABIL SODFI </v>
          </cell>
          <cell r="D217" t="str">
            <v>MA ALI MAKSUM</v>
          </cell>
        </row>
        <row r="218">
          <cell r="C218" t="str">
            <v>IZZA KHAWARIZMI</v>
          </cell>
          <cell r="D218" t="str">
            <v>SMAN 7 KOTA TANGERANG SELATAN</v>
          </cell>
        </row>
        <row r="219">
          <cell r="C219" t="str">
            <v>ADIM WIRA FATHONA</v>
          </cell>
          <cell r="D219" t="str">
            <v>SMA NEGERI 7 KOTA BEKASI</v>
          </cell>
        </row>
        <row r="220">
          <cell r="C220" t="str">
            <v>CLARA ANDHARA PUSPA</v>
          </cell>
          <cell r="D220" t="str">
            <v>SMA NEGERI 39 JAKARTA</v>
          </cell>
        </row>
        <row r="221">
          <cell r="C221" t="str">
            <v>AKESIA GRACETIMANSIA BR GINTING MANIK</v>
          </cell>
          <cell r="D221" t="str">
            <v>METHODIST 8 MEDAN</v>
          </cell>
        </row>
        <row r="222">
          <cell r="C222" t="str">
            <v>DALBERT AKZA WICAKSANA</v>
          </cell>
          <cell r="D222" t="str">
            <v xml:space="preserve">SMA NEGERI 2 PALANGKA RAYA </v>
          </cell>
        </row>
        <row r="223">
          <cell r="C223" t="str">
            <v>YUDA PRAWIRA JAYENG WARDHANA</v>
          </cell>
          <cell r="D223" t="str">
            <v xml:space="preserve">SMA GLOBAL JAYA </v>
          </cell>
        </row>
        <row r="224">
          <cell r="C224" t="str">
            <v>CHATAR ABDULLAH KEAN</v>
          </cell>
          <cell r="D224" t="str">
            <v>SMA SWASTA KARTIKA VIII-1</v>
          </cell>
        </row>
        <row r="225">
          <cell r="C225" t="str">
            <v>KEYZA SANNYA GUNAWAN</v>
          </cell>
          <cell r="D225" t="str">
            <v>SMA BUNDA KANDUNG</v>
          </cell>
        </row>
        <row r="226">
          <cell r="C226" t="str">
            <v>ARYA DAMAR ARFIAN</v>
          </cell>
          <cell r="D226" t="str">
            <v>SMAN 12 JAKARTA</v>
          </cell>
        </row>
        <row r="227">
          <cell r="C227" t="str">
            <v>KHAIRU ATHAA SURYA PERDANA</v>
          </cell>
          <cell r="D227" t="str">
            <v>SMAN 108 JAKARTA</v>
          </cell>
        </row>
        <row r="228">
          <cell r="C228" t="str">
            <v>SITI AHDIA FAWWAZ NURWENDHA</v>
          </cell>
          <cell r="D228" t="str">
            <v>SMAN 55 JAKARTA</v>
          </cell>
        </row>
        <row r="229">
          <cell r="C229" t="str">
            <v>SULTAN AKBAR MAIYANTRI</v>
          </cell>
          <cell r="D229" t="str">
            <v>SMA N 1 SANDEN</v>
          </cell>
        </row>
        <row r="230">
          <cell r="C230" t="str">
            <v>KEYZA APRILIA</v>
          </cell>
          <cell r="D230" t="str">
            <v>SMAS GITA KIRTTI 3 JAKARTA</v>
          </cell>
        </row>
        <row r="231">
          <cell r="C231" t="str">
            <v>MUHAMMAD ARYA ARAFAH</v>
          </cell>
          <cell r="D231" t="str">
            <v>SMA NEGERI 4 JAYAPURA</v>
          </cell>
        </row>
        <row r="232">
          <cell r="C232" t="str">
            <v>GHEA ZAHWA FAHIRA BUNGA LESTARI</v>
          </cell>
          <cell r="D232" t="str">
            <v>SMA ISLAM PB SOEDIRMAN BEKASI 1</v>
          </cell>
        </row>
        <row r="233">
          <cell r="C233" t="str">
            <v>SEKAR RAHAYU PUTRI</v>
          </cell>
          <cell r="D233" t="str">
            <v>SMKN 9 KOTA BEKASI</v>
          </cell>
        </row>
        <row r="234">
          <cell r="C234" t="str">
            <v>NURSITI RANDINI</v>
          </cell>
          <cell r="D234" t="str">
            <v>SMA INDRAMAYU (PAKET C)</v>
          </cell>
        </row>
        <row r="235">
          <cell r="C235" t="str">
            <v>BUNGA PADMA SARI</v>
          </cell>
          <cell r="D235" t="str">
            <v>SMK  KESEHATAN PRIMA INDONESIA</v>
          </cell>
        </row>
        <row r="236">
          <cell r="C236" t="str">
            <v>FATHIR ALMAZ GIBRAN</v>
          </cell>
          <cell r="D236" t="str">
            <v xml:space="preserve">SMAS PRIBADI BEJI </v>
          </cell>
        </row>
        <row r="237">
          <cell r="C237" t="str">
            <v>AMUNG WIJAYA ABDULLAH</v>
          </cell>
          <cell r="D237" t="str">
            <v>MADRASAH ALIYAH NEGERI 3 JAKARTA</v>
          </cell>
        </row>
        <row r="238">
          <cell r="C238" t="str">
            <v>CANDRA WIJAYA MULING</v>
          </cell>
          <cell r="D238" t="str">
            <v>SMAN 8 MALINAU</v>
          </cell>
        </row>
        <row r="239">
          <cell r="C239" t="str">
            <v>MUHAMMAD PRASETYO UTOMO</v>
          </cell>
          <cell r="D239" t="str">
            <v>SMA ISLAM GHAMA AR-RASYID</v>
          </cell>
        </row>
        <row r="240">
          <cell r="C240" t="str">
            <v>ALEXANDER JOHN DAVID AGUNG</v>
          </cell>
          <cell r="D240" t="str">
            <v>SMA KRISTEN 7 PENABUR JAKARTA</v>
          </cell>
        </row>
        <row r="241">
          <cell r="C241" t="str">
            <v>FEBRIN MAULANA RIDZKY</v>
          </cell>
          <cell r="D241" t="str">
            <v>SMAS 17 AGUSTUS 1945 JAKARTA</v>
          </cell>
        </row>
        <row r="242">
          <cell r="C242" t="str">
            <v>NISRINA KAMILIYA YUSUF</v>
          </cell>
          <cell r="D242" t="str">
            <v>SMAN 59 JAKARTA</v>
          </cell>
        </row>
        <row r="243">
          <cell r="C243" t="str">
            <v>RICKY JOESHEL MARCH</v>
          </cell>
          <cell r="D243" t="str">
            <v>SMA ADVENT PURWODADI</v>
          </cell>
        </row>
        <row r="244">
          <cell r="C244" t="str">
            <v>MERVLY RUMFIARSA KELMANUTU</v>
          </cell>
          <cell r="D244" t="str">
            <v>SMK NEGERI 3 DEPOK</v>
          </cell>
        </row>
        <row r="245">
          <cell r="C245" t="str">
            <v>SUKARMAN</v>
          </cell>
          <cell r="D245" t="str">
            <v>PAKET C; IPS TEGAL JAWA TENGAH</v>
          </cell>
        </row>
        <row r="246">
          <cell r="C246" t="str">
            <v>LAYKA AGISTY PASHA</v>
          </cell>
          <cell r="D246" t="str">
            <v>MAN 7 JAKARTA</v>
          </cell>
        </row>
        <row r="247">
          <cell r="C247" t="str">
            <v>SALSABILA ANANDIRA ZAHRA</v>
          </cell>
          <cell r="D247" t="str">
            <v>SMK BINAKARYA MANDIRI 2 BEKASI</v>
          </cell>
        </row>
        <row r="248">
          <cell r="C248" t="str">
            <v>AMAR KHALID HARAHAP</v>
          </cell>
          <cell r="D248" t="str">
            <v>SMAN 1 MATAULI PANDAN</v>
          </cell>
        </row>
        <row r="249">
          <cell r="C249" t="str">
            <v>MUSTIKA RAHMA PUTRI</v>
          </cell>
          <cell r="D249" t="str">
            <v xml:space="preserve">SMA PGRI CICURUG KABUPATEN SUKABUMI </v>
          </cell>
        </row>
        <row r="250">
          <cell r="C250" t="str">
            <v>ADHY SATRIO TRI WARDHANA</v>
          </cell>
          <cell r="D250" t="str">
            <v>SMA PLUS AT-THAIRIN</v>
          </cell>
        </row>
        <row r="251">
          <cell r="C251" t="str">
            <v>MUHAMMAD RIFQI PERDANA</v>
          </cell>
          <cell r="D251" t="str">
            <v>PAKET C; PKBM NEGERI 09 CILANDAK</v>
          </cell>
        </row>
        <row r="252">
          <cell r="C252" t="str">
            <v>NOVENLI SILAEN</v>
          </cell>
          <cell r="D252" t="str">
            <v xml:space="preserve">SMU BEGERI 2 TANJUNG BALAI SUMATERA UTARA </v>
          </cell>
        </row>
        <row r="253">
          <cell r="C253" t="str">
            <v>NATANAEL GREAT BENEDICT TAMPUBOLON</v>
          </cell>
          <cell r="D253" t="str">
            <v>SMA NEGERI 8 BEKASI</v>
          </cell>
        </row>
        <row r="254">
          <cell r="C254" t="str">
            <v>HASNU</v>
          </cell>
          <cell r="D254" t="str">
            <v>MADRASAH ALIYAH SWASTA AMALIAH POTA</v>
          </cell>
        </row>
        <row r="255">
          <cell r="C255" t="str">
            <v>FELIX TOMAN PANGONDIAN SITUMORANG</v>
          </cell>
          <cell r="D255" t="str">
            <v>SMA NEGERI 39 JAKARTA</v>
          </cell>
        </row>
        <row r="256">
          <cell r="C256" t="str">
            <v>DEWI SARTIKA</v>
          </cell>
          <cell r="D256" t="str">
            <v xml:space="preserve">SMK NEGERI 41 JAKARTA </v>
          </cell>
        </row>
        <row r="257">
          <cell r="C257" t="str">
            <v>IDHAM FAZWA</v>
          </cell>
          <cell r="D257" t="str">
            <v>SMAN 5 TARUNA BRAWIJAYA</v>
          </cell>
        </row>
        <row r="258">
          <cell r="C258" t="str">
            <v>LINDA MERIANA</v>
          </cell>
          <cell r="D258" t="str">
            <v xml:space="preserve">SMA NEGERI 5 MAGELANG </v>
          </cell>
        </row>
        <row r="259">
          <cell r="C259" t="str">
            <v>HANNY KRISTIANTO</v>
          </cell>
          <cell r="D259" t="str">
            <v>SMA SWASTA KRISTEN BPK PENABUR SUKABUMI</v>
          </cell>
        </row>
        <row r="260">
          <cell r="C260" t="str">
            <v>NUR OCTORISE SIAHAAN</v>
          </cell>
          <cell r="D260" t="str">
            <v>SMA ANGKASA 1</v>
          </cell>
        </row>
        <row r="261">
          <cell r="C261" t="str">
            <v>MUHAMMAD HABIEL GHANIYY</v>
          </cell>
          <cell r="D261" t="str">
            <v>SMA CENDRAWASIH 1</v>
          </cell>
        </row>
        <row r="262">
          <cell r="C262" t="str">
            <v>BRYAN JOSEPH PUTRA</v>
          </cell>
          <cell r="D262" t="str">
            <v>SMA NEGERI 68 JAKARTA</v>
          </cell>
        </row>
        <row r="263">
          <cell r="C263" t="str">
            <v>RANI MAULIDA ALFARA</v>
          </cell>
          <cell r="D263" t="str">
            <v>SMA YAYASAN BAKTI</v>
          </cell>
        </row>
        <row r="264">
          <cell r="C264" t="str">
            <v>ANKA MAULA</v>
          </cell>
          <cell r="D264" t="str">
            <v>SMA NEGERI 97 JAKARTA</v>
          </cell>
        </row>
        <row r="265">
          <cell r="C265" t="str">
            <v>KAYLA NABILA PUTRI</v>
          </cell>
          <cell r="D265" t="str">
            <v xml:space="preserve">SMA NEGERI 2 CIANJUR </v>
          </cell>
        </row>
        <row r="266">
          <cell r="C266" t="str">
            <v>AMIRA NUR MECCA LUBIS</v>
          </cell>
          <cell r="D266" t="str">
            <v>SMK NEGERI 3 DEPOK</v>
          </cell>
        </row>
        <row r="267">
          <cell r="C267" t="str">
            <v>NADHIFA AULIA YASMIN</v>
          </cell>
          <cell r="D267" t="str">
            <v>MAS KHAIRUL UMMAH</v>
          </cell>
        </row>
        <row r="268">
          <cell r="C268" t="str">
            <v>ANESAH</v>
          </cell>
          <cell r="D268" t="str">
            <v>SMA NEGERI 1 SAJIRA</v>
          </cell>
        </row>
        <row r="269">
          <cell r="C269" t="str">
            <v>KAYLA AGISNA AZKIYA</v>
          </cell>
          <cell r="D269" t="str">
            <v xml:space="preserve">SMA AL-MULTAZAM </v>
          </cell>
        </row>
        <row r="270">
          <cell r="C270" t="str">
            <v>FERNANDO RISKY ANDRIAWAN</v>
          </cell>
          <cell r="D270" t="str">
            <v>SMA NEGERI 32 JAKARTA</v>
          </cell>
        </row>
        <row r="271">
          <cell r="C271" t="str">
            <v>BALQIS NABILLA</v>
          </cell>
          <cell r="D271" t="str">
            <v>SMK NEGERI 12 JAKARTA</v>
          </cell>
        </row>
        <row r="272">
          <cell r="C272" t="str">
            <v>DELKA ORGIANDANA ARNOV</v>
          </cell>
          <cell r="D272" t="str">
            <v>SMA NEGERI 14 DEPOK</v>
          </cell>
        </row>
        <row r="273">
          <cell r="C273" t="str">
            <v>SITI ADELIA PUTRI ZAHIRA</v>
          </cell>
          <cell r="D273" t="str">
            <v>SMA NEGERI 97 JAKARTA</v>
          </cell>
        </row>
        <row r="274">
          <cell r="C274" t="str">
            <v>SYARIFAH RADHWA RABBANI IRSAN</v>
          </cell>
          <cell r="D274" t="str">
            <v>SMA NEGERI 3 CIBINONG</v>
          </cell>
        </row>
        <row r="275">
          <cell r="C275" t="str">
            <v>SANIA REVINA LADO</v>
          </cell>
          <cell r="D275" t="str">
            <v>SMA NEGERI 13 DEPOK</v>
          </cell>
        </row>
        <row r="276">
          <cell r="C276" t="str">
            <v>LUTHFI NAUFAN ZULFIKAR</v>
          </cell>
          <cell r="D276" t="str">
            <v>SMA NEGERI 25 BANDUNG</v>
          </cell>
        </row>
        <row r="277">
          <cell r="C277" t="str">
            <v>FAJAR ISLAMI</v>
          </cell>
          <cell r="D277" t="str">
            <v>SMA NEGERI 9 TANGERANG</v>
          </cell>
        </row>
        <row r="278">
          <cell r="C278" t="str">
            <v>PUSANTI</v>
          </cell>
          <cell r="D278" t="str">
            <v>SMA NEGERI 4 KOTA BENGKULU</v>
          </cell>
        </row>
        <row r="279">
          <cell r="C279" t="str">
            <v>DING CHONG</v>
          </cell>
          <cell r="D279" t="str">
            <v>TIDAK LENGKAP</v>
          </cell>
        </row>
        <row r="280">
          <cell r="C280" t="str">
            <v>ANTHONY</v>
          </cell>
          <cell r="D280" t="str">
            <v xml:space="preserve">SMA SWASTA SUTOMO 1 MEDAN </v>
          </cell>
        </row>
        <row r="281">
          <cell r="C281" t="str">
            <v>ATHA HUKAMA ARDYAWATI</v>
          </cell>
          <cell r="D281" t="str">
            <v xml:space="preserve">SMA NEGERI 109 JAKARTA </v>
          </cell>
        </row>
        <row r="282">
          <cell r="C282" t="str">
            <v>NANDAR WULAN</v>
          </cell>
          <cell r="D282" t="str">
            <v>SMA NEGERI 5 KABUPATEN TANGERANG</v>
          </cell>
        </row>
        <row r="283">
          <cell r="C283" t="str">
            <v>GALIH RIVANE FEBRIANSYAH</v>
          </cell>
          <cell r="D283" t="str">
            <v>SMA NEGERI 1 BUNGO</v>
          </cell>
        </row>
        <row r="284">
          <cell r="C284" t="str">
            <v>MARGARETHA HAPPY DIANEZRA SIJABAT</v>
          </cell>
          <cell r="D284" t="str">
            <v xml:space="preserve">SMA SWASTA PUSAKA 1 JAKARTA </v>
          </cell>
        </row>
        <row r="285">
          <cell r="C285" t="str">
            <v>MOHAMMAD DARREN DZULHANNAN</v>
          </cell>
          <cell r="D285" t="str">
            <v>SMA KELUARGA WIDURI JAKARTA SELATAN</v>
          </cell>
        </row>
        <row r="286">
          <cell r="C286" t="str">
            <v>MUHAMMAD HAIKAL</v>
          </cell>
          <cell r="D286" t="str">
            <v>SMK MADANI DEPOK</v>
          </cell>
        </row>
        <row r="287">
          <cell r="C287" t="str">
            <v>ATHIFA FARRAS FAZILA</v>
          </cell>
          <cell r="D287" t="str">
            <v>MAS AL HIDAYAH RAWA DEPOK</v>
          </cell>
        </row>
        <row r="288">
          <cell r="C288" t="str">
            <v>ARYA EKA PUTRA</v>
          </cell>
          <cell r="D288" t="str">
            <v xml:space="preserve">SMK NEGERI 2 SAMPANG </v>
          </cell>
        </row>
        <row r="289">
          <cell r="C289" t="str">
            <v>BINTANG RIZKY HAMONANGAN</v>
          </cell>
          <cell r="D289" t="str">
            <v>SMAS CENDRAWASIH II</v>
          </cell>
        </row>
        <row r="290">
          <cell r="C290" t="str">
            <v>AFRILIA WAHURUN INUN</v>
          </cell>
          <cell r="D290" t="str">
            <v>SMAN 4 KOTA BENGKULU</v>
          </cell>
        </row>
        <row r="291">
          <cell r="C291" t="str">
            <v>FATHIR WIRA HENDRA PUTRA</v>
          </cell>
          <cell r="D291" t="str">
            <v>SMA YPHB BOGOR</v>
          </cell>
        </row>
        <row r="292">
          <cell r="C292" t="str">
            <v>NASYWA INAS AFFIFAH</v>
          </cell>
          <cell r="D292" t="str">
            <v>SMA NEGERI 6 BEKASI</v>
          </cell>
        </row>
        <row r="293">
          <cell r="C293" t="str">
            <v>MIRANDA ERYNA VIMALA BULAN</v>
          </cell>
          <cell r="D293" t="str">
            <v>SMA NEGERI 1 TANJUNG SELOR</v>
          </cell>
        </row>
        <row r="294">
          <cell r="C294" t="str">
            <v>ANNISA BUNGA AL-KHALIFI</v>
          </cell>
          <cell r="D294" t="str">
            <v>SMAN 18 BEKASI</v>
          </cell>
        </row>
        <row r="295">
          <cell r="C295" t="str">
            <v>ELSHA ANISTIRA PUTERI</v>
          </cell>
          <cell r="D295" t="str">
            <v>SMAN 16 JAKARTA</v>
          </cell>
        </row>
        <row r="296">
          <cell r="C296" t="str">
            <v>DENNIS MAHARDIKA HARYONO</v>
          </cell>
          <cell r="D296" t="str">
            <v xml:space="preserve">SMK NEGERI 1 KARAWANG </v>
          </cell>
        </row>
        <row r="297">
          <cell r="C297" t="str">
            <v>ALDREYFANO EVAN RIZKY FAUZAN</v>
          </cell>
          <cell r="D297" t="str">
            <v>SMA CENDERAWASIH 1 JAKARTA</v>
          </cell>
        </row>
        <row r="298">
          <cell r="C298" t="str">
            <v>FATHIN AKBAR FARISMA</v>
          </cell>
          <cell r="D298" t="str">
            <v>SMA NEGERI 1 BIREUEN</v>
          </cell>
        </row>
        <row r="299">
          <cell r="C299" t="str">
            <v>DAFIN FACHRIZA RAHMAN</v>
          </cell>
          <cell r="D299" t="str">
            <v>SMAS BUDI MULIA UTAMA JAKARTA</v>
          </cell>
        </row>
        <row r="300">
          <cell r="C300" t="str">
            <v>AGUSTY ABU ISNAENI</v>
          </cell>
          <cell r="D300" t="str">
            <v>MA NEGERI TUBAN</v>
          </cell>
        </row>
        <row r="301">
          <cell r="C301" t="str">
            <v>ABDUL WAHID</v>
          </cell>
          <cell r="D301" t="str">
            <v>MA MUHAMMADIYAH WELERI</v>
          </cell>
        </row>
        <row r="302">
          <cell r="C302" t="str">
            <v>RAHMAN WIBOWO</v>
          </cell>
          <cell r="D302" t="str">
            <v>SMK MUHAMMADIYAH 1 WELERI</v>
          </cell>
        </row>
        <row r="303">
          <cell r="C303" t="str">
            <v>ILHAM KURNIA SANDY</v>
          </cell>
          <cell r="D303" t="str">
            <v>MA AL MUKMIN NGRUKI</v>
          </cell>
        </row>
        <row r="304">
          <cell r="C304" t="str">
            <v>ZAKI NUGRAHA</v>
          </cell>
          <cell r="D304" t="str">
            <v>SMA NEGERI 1 SINGAPARNA KAB. TASIKMALAYA</v>
          </cell>
        </row>
        <row r="305">
          <cell r="C305" t="str">
            <v>MUHAMAD DZAKWAN NABIL</v>
          </cell>
          <cell r="D305" t="str">
            <v>MA SHIROTHUL FUQOHA</v>
          </cell>
        </row>
        <row r="306">
          <cell r="C306" t="str">
            <v>HAIBAN HABIB</v>
          </cell>
          <cell r="D306" t="str">
            <v xml:space="preserve">MA AL MUKMIN NGRUKI </v>
          </cell>
        </row>
        <row r="307">
          <cell r="C307" t="str">
            <v>MUHAMMAD NAUFAL AL HIDAYAH</v>
          </cell>
          <cell r="D307" t="str">
            <v>MAN YOGYAKARTA 1</v>
          </cell>
        </row>
        <row r="308">
          <cell r="C308" t="str">
            <v>DAVID DARMAWAN</v>
          </cell>
          <cell r="D308" t="str">
            <v>SMA NEGERI 1 KARTASURA</v>
          </cell>
        </row>
        <row r="309">
          <cell r="C309" t="str">
            <v>AMELIA NINDYA ANTARI</v>
          </cell>
          <cell r="D309" t="str">
            <v>SMA MUHAMMADIYAH 1 KARANGANYAR</v>
          </cell>
        </row>
        <row r="310">
          <cell r="C310" t="str">
            <v>ARIES FAHRUDDIN</v>
          </cell>
          <cell r="D310" t="str">
            <v xml:space="preserve">SMA MUHAMMADIYAH 2 PALANG </v>
          </cell>
        </row>
        <row r="311">
          <cell r="C311" t="str">
            <v>MUHAMMAD AS'AD BAIQUNI ROFI</v>
          </cell>
          <cell r="D311" t="str">
            <v>PAKET C KRATONAN</v>
          </cell>
        </row>
        <row r="312">
          <cell r="C312" t="str">
            <v>AGUNG ARIBOWO</v>
          </cell>
          <cell r="D312" t="str">
            <v xml:space="preserve">SMK DIAN KIRANA 1 SRAGEN </v>
          </cell>
        </row>
        <row r="313">
          <cell r="C313" t="str">
            <v>DEWI PUSPITASARI</v>
          </cell>
          <cell r="D313" t="str">
            <v>PAKET C PRASOJO SURAKARTA JAWA TENGAH</v>
          </cell>
        </row>
        <row r="314">
          <cell r="C314" t="str">
            <v>ACHMAD SYAIFUDIN</v>
          </cell>
          <cell r="D314" t="str">
            <v>MA AL MUKMIN NGRUKI</v>
          </cell>
        </row>
        <row r="315">
          <cell r="C315" t="str">
            <v>MEICA FATIKHA CHOIRUNNISAK</v>
          </cell>
          <cell r="D315" t="str">
            <v>SMK NEGERI 2 TUBAN</v>
          </cell>
        </row>
        <row r="316">
          <cell r="C316" t="str">
            <v>TRIAJI SATRIO</v>
          </cell>
          <cell r="D316" t="str">
            <v>SMA NEGERI 2 TRENGGALEK</v>
          </cell>
        </row>
        <row r="317">
          <cell r="C317" t="str">
            <v>MUHAMMAD AQIL NAUFAL ZEN</v>
          </cell>
          <cell r="D317" t="str">
            <v xml:space="preserve">MA MU'ALLIMIN MUHAMMADIYAH YOGYAKARTA </v>
          </cell>
        </row>
        <row r="318">
          <cell r="C318" t="str">
            <v>NISSA AKMALIA ZEN</v>
          </cell>
          <cell r="D318" t="str">
            <v xml:space="preserve">SMA MUHAMMADIYAH 2 YOGYAKARTA </v>
          </cell>
        </row>
        <row r="319">
          <cell r="C319" t="str">
            <v>ANDIK PRABOWO</v>
          </cell>
          <cell r="D319" t="str">
            <v>SMAN 6 UJUNG PANDANG / MAKASSAR</v>
          </cell>
        </row>
        <row r="320">
          <cell r="C320" t="str">
            <v>HARDI KURNIAWAN</v>
          </cell>
          <cell r="D320" t="str">
            <v>SMTI MAKASAR</v>
          </cell>
        </row>
        <row r="321">
          <cell r="C321" t="str">
            <v>SILVIANA PANJAITAN</v>
          </cell>
          <cell r="D321" t="str">
            <v>SMA SWASTA DHARMAWANGSA MEDAN</v>
          </cell>
        </row>
        <row r="322">
          <cell r="C322" t="str">
            <v>DIFDHA AGUSTO</v>
          </cell>
          <cell r="D322" t="str">
            <v>SMA NEGERI 2 SUBANG</v>
          </cell>
        </row>
        <row r="323">
          <cell r="C323" t="str">
            <v>WAHYU WIDYA ASTUTI</v>
          </cell>
          <cell r="D323" t="str">
            <v>SMA NEGERI 11 MEDAN</v>
          </cell>
        </row>
        <row r="324">
          <cell r="C324" t="str">
            <v>LA ODE AJI</v>
          </cell>
          <cell r="D324" t="str">
            <v>SMA NEGERI 2 RAHA</v>
          </cell>
        </row>
        <row r="325">
          <cell r="C325" t="str">
            <v>DESTA PRASTYO TRI WIGATI</v>
          </cell>
          <cell r="D325" t="str">
            <v>SMA NEGERI 1 BANJARNEGARA</v>
          </cell>
        </row>
        <row r="326">
          <cell r="C326" t="str">
            <v>FERI ARIYANTO</v>
          </cell>
          <cell r="D326" t="str">
            <v>SMA PKP DKI JAKARTA</v>
          </cell>
        </row>
        <row r="327">
          <cell r="C327" t="str">
            <v>FERI ANDRIYANTO</v>
          </cell>
          <cell r="D327" t="str">
            <v>SMA NEGERI 4 BOGOR</v>
          </cell>
        </row>
        <row r="328">
          <cell r="C328" t="str">
            <v>RIZKI ADIBPANSA</v>
          </cell>
          <cell r="D328" t="str">
            <v>SMA NERERI 6 SURAKARTA</v>
          </cell>
        </row>
        <row r="329">
          <cell r="C329" t="str">
            <v>NUR EDI MUSTOFA</v>
          </cell>
          <cell r="D329" t="str">
            <v>SMA NEGERI 6 PURWOREJO</v>
          </cell>
        </row>
        <row r="330">
          <cell r="C330" t="str">
            <v>SUBUR JIANTO</v>
          </cell>
          <cell r="D330" t="str">
            <v>SMK NEGERI 2 PATI</v>
          </cell>
        </row>
        <row r="331">
          <cell r="C331" t="str">
            <v>ANGGA GUNAWAN</v>
          </cell>
          <cell r="D331" t="str">
            <v>SMK NEGERI 3 MATARAM</v>
          </cell>
        </row>
        <row r="332">
          <cell r="C332" t="str">
            <v>MUHAMMAD REZA NUR RIZQI</v>
          </cell>
          <cell r="D332" t="str">
            <v>SMA NEGERI 1 SINGGAHAN</v>
          </cell>
        </row>
        <row r="333">
          <cell r="C333" t="str">
            <v>SUJONI</v>
          </cell>
          <cell r="D333" t="str">
            <v>SMK PUI JATIBARANG</v>
          </cell>
        </row>
        <row r="334">
          <cell r="C334" t="str">
            <v>EDI LESTIO</v>
          </cell>
          <cell r="D334" t="str">
            <v>STM SWASTA DWIJA PRAJA</v>
          </cell>
        </row>
        <row r="335">
          <cell r="C335" t="str">
            <v>MA'RUF FATHURACHMAN SHALEH</v>
          </cell>
          <cell r="D335" t="str">
            <v>MAN 2 BEKASI</v>
          </cell>
        </row>
        <row r="336">
          <cell r="C336" t="str">
            <v>EDGAR ALANA PUTRA</v>
          </cell>
          <cell r="D336" t="str">
            <v>SMAN 4 KOTA SOLOK</v>
          </cell>
        </row>
        <row r="337">
          <cell r="C337" t="str">
            <v>PRASETIYO REGZI ADE KURNIAWAN</v>
          </cell>
          <cell r="D337" t="str">
            <v>SMK NEGERI 1 PURBALINGGA</v>
          </cell>
        </row>
        <row r="338">
          <cell r="C338" t="str">
            <v>BUDI SULISTIONO</v>
          </cell>
          <cell r="D338" t="str">
            <v>SMKS KESDAM JAYA JAKATRA</v>
          </cell>
        </row>
        <row r="339">
          <cell r="C339" t="str">
            <v>ARI GUNAWAN</v>
          </cell>
          <cell r="D339" t="str">
            <v>SMK NEGERI 1 INDRALAYANA UTARA</v>
          </cell>
        </row>
        <row r="340">
          <cell r="C340" t="str">
            <v>JON RIKARDO SIMAMORA</v>
          </cell>
          <cell r="D340" t="str">
            <v>SMAN 1 BALIGE SUMATRA UTARA</v>
          </cell>
        </row>
        <row r="341">
          <cell r="C341" t="str">
            <v>PRASETYO TATADANG SEKE BENTELU</v>
          </cell>
          <cell r="D341" t="str">
            <v>SMA KATOLIK SANTO YOSEPH LUWUK</v>
          </cell>
        </row>
        <row r="342">
          <cell r="C342" t="str">
            <v>GAGAH HARDIANSYAH</v>
          </cell>
          <cell r="D342" t="str">
            <v>SMAN 33 JAKARTA</v>
          </cell>
        </row>
        <row r="343">
          <cell r="C343" t="str">
            <v>RAMA DWI WAGENDRA</v>
          </cell>
          <cell r="D343" t="str">
            <v xml:space="preserve">SMA ADILUHUR JAKARTA </v>
          </cell>
        </row>
      </sheetData>
      <sheetData sheetId="5"/>
      <sheetData sheetId="6">
        <row r="4">
          <cell r="B4" t="str">
            <v>Angelina Sendy Rumondor</v>
          </cell>
          <cell r="C4" t="str">
            <v>YA</v>
          </cell>
          <cell r="D4" t="str">
            <v>Beasiswa 100%, Keluarga Adhyaksa (Putra Putri Jaksa)</v>
          </cell>
          <cell r="E4" t="str">
            <v>Angkatan 1</v>
          </cell>
        </row>
        <row r="5">
          <cell r="B5" t="str">
            <v xml:space="preserve">Drian Al-Dzamira </v>
          </cell>
          <cell r="C5" t="str">
            <v>YA</v>
          </cell>
          <cell r="D5" t="str">
            <v>Beasiswa 100%, Keluarga Adhyaksa (Putra Putri Jaksa)</v>
          </cell>
          <cell r="E5" t="str">
            <v>Angkatan 1</v>
          </cell>
        </row>
        <row r="6">
          <cell r="B6" t="str">
            <v>Nazla Turahma Syahdilla</v>
          </cell>
          <cell r="C6" t="str">
            <v>YA</v>
          </cell>
          <cell r="D6" t="str">
            <v>Beasiswa 100%, Keluarga Adhyaksa (Putra Putri Jaksa)</v>
          </cell>
          <cell r="E6" t="str">
            <v>Angkatan 1</v>
          </cell>
        </row>
        <row r="7">
          <cell r="B7" t="str">
            <v>Chelsylia Ivana BR Sihite</v>
          </cell>
          <cell r="C7" t="str">
            <v>YA</v>
          </cell>
          <cell r="D7" t="str">
            <v>Beasiswa 100%, Keluarga Adhyaksa (Putra Putri Jaksa)</v>
          </cell>
          <cell r="E7" t="str">
            <v>Angkatan 1</v>
          </cell>
        </row>
        <row r="8">
          <cell r="B8" t="str">
            <v>Karel Gilbert Tobing</v>
          </cell>
          <cell r="C8" t="str">
            <v>YA</v>
          </cell>
          <cell r="D8" t="str">
            <v>Beasiswa 100%, Keluarga Adhyaksa (Putra Putri Jaksa)</v>
          </cell>
          <cell r="E8" t="str">
            <v>Angkatan 1</v>
          </cell>
        </row>
        <row r="9">
          <cell r="B9" t="str">
            <v>Nadila Achmad</v>
          </cell>
          <cell r="C9" t="str">
            <v>YA</v>
          </cell>
          <cell r="D9" t="str">
            <v>Beasiswa 100%, Keluarga Adhyaksa (Putra Putri Jaksa)</v>
          </cell>
          <cell r="E9" t="str">
            <v>Angkatan 1</v>
          </cell>
        </row>
        <row r="10">
          <cell r="B10" t="str">
            <v>Agung Muhammad</v>
          </cell>
          <cell r="C10" t="str">
            <v>YA</v>
          </cell>
          <cell r="D10" t="str">
            <v>Beasiswa 100%, Pegawai Kejaksaan</v>
          </cell>
          <cell r="E10" t="str">
            <v>Angkatan 1</v>
          </cell>
        </row>
        <row r="11">
          <cell r="B11" t="str">
            <v>Rifi Khusnan Muaward</v>
          </cell>
          <cell r="C11" t="str">
            <v>YA</v>
          </cell>
          <cell r="D11" t="str">
            <v>Beasiswa 100%, Pegawai Kejaksaan</v>
          </cell>
          <cell r="E11" t="str">
            <v>Angkatan 1</v>
          </cell>
        </row>
        <row r="12">
          <cell r="B12" t="str">
            <v>Dita Pertiwi</v>
          </cell>
          <cell r="C12" t="str">
            <v>YA</v>
          </cell>
          <cell r="D12" t="str">
            <v>Beasiswa 100%, Pegawai Kejaksaan</v>
          </cell>
          <cell r="E12" t="str">
            <v>Angkatan 1</v>
          </cell>
        </row>
        <row r="13">
          <cell r="B13" t="str">
            <v>Muhammad Rafly Dwitama</v>
          </cell>
          <cell r="C13" t="str">
            <v>YA</v>
          </cell>
          <cell r="D13" t="str">
            <v>Beasiswa 100%, Pegawai Kejaksaan</v>
          </cell>
          <cell r="E13" t="str">
            <v>Angkatan 1</v>
          </cell>
        </row>
        <row r="14">
          <cell r="B14" t="str">
            <v>Bintang Jambi Putra</v>
          </cell>
          <cell r="C14" t="str">
            <v>YA</v>
          </cell>
          <cell r="D14" t="str">
            <v>Beasiswa 100%, Pegawai Kejaksaan</v>
          </cell>
          <cell r="E14" t="str">
            <v>Angkatan 1</v>
          </cell>
        </row>
        <row r="15">
          <cell r="B15" t="str">
            <v>Ilham Sawaldi</v>
          </cell>
          <cell r="C15" t="str">
            <v>YA</v>
          </cell>
          <cell r="D15" t="str">
            <v>Beasiswa 100%, Pegawai Kejaksaan</v>
          </cell>
          <cell r="E15" t="str">
            <v>Angkatan 1</v>
          </cell>
        </row>
        <row r="16">
          <cell r="B16" t="str">
            <v>Arif Firmansyah</v>
          </cell>
          <cell r="C16" t="str">
            <v>YA</v>
          </cell>
          <cell r="D16" t="str">
            <v>Beasiswa 100%, Pegawai Kejaksaan</v>
          </cell>
          <cell r="E16" t="str">
            <v>Angkatan 1</v>
          </cell>
        </row>
        <row r="17">
          <cell r="B17" t="str">
            <v>Dwi Ratu Pratiwi Raya Pailin</v>
          </cell>
          <cell r="C17" t="str">
            <v>YA</v>
          </cell>
          <cell r="D17" t="str">
            <v>Beasiswa 100%, Pegawai Kejaksaan</v>
          </cell>
          <cell r="E17" t="str">
            <v>Angkatan 1</v>
          </cell>
        </row>
        <row r="18">
          <cell r="B18" t="str">
            <v>Agung Hidayatullah</v>
          </cell>
          <cell r="C18" t="str">
            <v>YA</v>
          </cell>
          <cell r="D18" t="str">
            <v>Beasiswa 100%, Pegawai Kejaksaan</v>
          </cell>
          <cell r="E18" t="str">
            <v>Angkatan 1</v>
          </cell>
        </row>
        <row r="19">
          <cell r="B19" t="str">
            <v>Atika Hilwa Afli</v>
          </cell>
          <cell r="C19" t="str">
            <v>YA</v>
          </cell>
          <cell r="D19" t="str">
            <v>Beasiswa 100%, Pegawai Kejaksaan</v>
          </cell>
          <cell r="E19" t="str">
            <v>Angkatan 1</v>
          </cell>
        </row>
        <row r="20">
          <cell r="B20" t="str">
            <v>Ricko Dwi Nugroho</v>
          </cell>
          <cell r="C20" t="str">
            <v>YA</v>
          </cell>
          <cell r="D20" t="str">
            <v>Beasiswa 100%, Pegawai Kejaksaan</v>
          </cell>
          <cell r="E20" t="str">
            <v>Angkatan 1</v>
          </cell>
        </row>
        <row r="21">
          <cell r="B21" t="str">
            <v>Erdy Pranoto</v>
          </cell>
          <cell r="C21" t="str">
            <v>YA</v>
          </cell>
          <cell r="D21" t="str">
            <v>Beasiswa 100%, Pegawai Kejaksaan</v>
          </cell>
          <cell r="E21" t="str">
            <v>Angkatan 1</v>
          </cell>
        </row>
        <row r="22">
          <cell r="B22" t="str">
            <v>Michelle Maria Renata de Fretes</v>
          </cell>
          <cell r="C22" t="str">
            <v>YA</v>
          </cell>
          <cell r="D22" t="str">
            <v>Beasiswa 50%, Pegawai Kejaksaan</v>
          </cell>
          <cell r="E22" t="str">
            <v>Angkatan 1</v>
          </cell>
        </row>
        <row r="23">
          <cell r="B23" t="str">
            <v>Fahmi Alamsyah</v>
          </cell>
          <cell r="C23" t="str">
            <v>YA</v>
          </cell>
          <cell r="D23" t="str">
            <v>Beasiswa 50%, Pegawai Kejaksaan</v>
          </cell>
          <cell r="E23" t="str">
            <v>Angkatan 1</v>
          </cell>
        </row>
        <row r="24">
          <cell r="B24" t="str">
            <v>Muhammad Haris</v>
          </cell>
          <cell r="C24" t="str">
            <v>YA</v>
          </cell>
          <cell r="D24" t="str">
            <v>Beasiswa 50%, Pegawai Kejaksaan</v>
          </cell>
          <cell r="E24" t="str">
            <v>Angkatan 1</v>
          </cell>
        </row>
        <row r="25">
          <cell r="B25" t="str">
            <v>Febrryansyah Ramadhan</v>
          </cell>
          <cell r="C25" t="str">
            <v>YA</v>
          </cell>
          <cell r="D25" t="str">
            <v>Beasiswa 50%, Pegawai Kejaksaan</v>
          </cell>
          <cell r="E25" t="str">
            <v>Angkatan 1</v>
          </cell>
        </row>
        <row r="26">
          <cell r="B26" t="str">
            <v>Muhammad Al-Qodri</v>
          </cell>
          <cell r="C26" t="str">
            <v>YA</v>
          </cell>
          <cell r="D26" t="str">
            <v>Beasiswa 50%, Pegawai Kejaksaan</v>
          </cell>
          <cell r="E26" t="str">
            <v>Angkatan 1</v>
          </cell>
        </row>
        <row r="27">
          <cell r="B27" t="str">
            <v>Rika Muara</v>
          </cell>
          <cell r="C27" t="str">
            <v>YA</v>
          </cell>
          <cell r="D27" t="str">
            <v>Beasiswa 50%, Pegawai Kejaksaan</v>
          </cell>
          <cell r="E27" t="str">
            <v>Angkatan 1</v>
          </cell>
        </row>
        <row r="28">
          <cell r="B28" t="str">
            <v>Matulesy Setyo Nugroho</v>
          </cell>
          <cell r="C28" t="str">
            <v>YA</v>
          </cell>
          <cell r="D28" t="str">
            <v>Beasiswa 50%, Pegawai Kejaksaan</v>
          </cell>
          <cell r="E28" t="str">
            <v>Angkatan 1</v>
          </cell>
        </row>
        <row r="29">
          <cell r="B29" t="str">
            <v>Cinta Sekar Kinanti</v>
          </cell>
          <cell r="C29" t="str">
            <v>YA</v>
          </cell>
          <cell r="D29" t="str">
            <v>Beasiswa 100%, Umum</v>
          </cell>
          <cell r="E29" t="str">
            <v>Angkatan 1</v>
          </cell>
        </row>
        <row r="30">
          <cell r="B30" t="str">
            <v>Fernando Dwi Putra</v>
          </cell>
          <cell r="C30" t="str">
            <v>YA</v>
          </cell>
          <cell r="D30" t="str">
            <v>Beasiswa 100%, Umum</v>
          </cell>
          <cell r="E30" t="str">
            <v>Angkatan 1</v>
          </cell>
        </row>
        <row r="31">
          <cell r="B31" t="str">
            <v>Riski Septiawan</v>
          </cell>
          <cell r="C31" t="str">
            <v>YA</v>
          </cell>
          <cell r="D31" t="str">
            <v>Beasiswa 100%, Umum</v>
          </cell>
          <cell r="E31" t="str">
            <v>Angkatan 1</v>
          </cell>
        </row>
        <row r="32">
          <cell r="B32" t="str">
            <v>Ananda Salwa Sari</v>
          </cell>
          <cell r="C32" t="str">
            <v>YA</v>
          </cell>
          <cell r="D32" t="str">
            <v>Beasiswa 100%, Umum</v>
          </cell>
          <cell r="E32" t="str">
            <v>Angkatan 1</v>
          </cell>
        </row>
        <row r="33">
          <cell r="B33" t="str">
            <v>Satrio Prabowo</v>
          </cell>
          <cell r="C33" t="str">
            <v>YA</v>
          </cell>
          <cell r="D33" t="str">
            <v>Beasiswa 100%, Umum</v>
          </cell>
          <cell r="E33" t="str">
            <v>Angkatan 1</v>
          </cell>
        </row>
        <row r="34">
          <cell r="B34" t="str">
            <v>Muhammad Rizki Ananda</v>
          </cell>
          <cell r="C34" t="str">
            <v>YA</v>
          </cell>
          <cell r="D34" t="str">
            <v>Beasiswa 100%, Umum</v>
          </cell>
          <cell r="E34" t="str">
            <v>Angkatan 1</v>
          </cell>
        </row>
        <row r="35">
          <cell r="B35" t="str">
            <v>Nafhan Adhyaksa Prakasa Amin</v>
          </cell>
          <cell r="C35" t="str">
            <v>YA</v>
          </cell>
          <cell r="D35" t="str">
            <v>Beasiswa 50%, Berprestasi/Kurang Mampu</v>
          </cell>
          <cell r="E35" t="str">
            <v>Angkatan 1</v>
          </cell>
        </row>
        <row r="36">
          <cell r="B36" t="str">
            <v>Zuhrah Annafira</v>
          </cell>
          <cell r="C36" t="str">
            <v>YA</v>
          </cell>
          <cell r="D36" t="str">
            <v>Beasiswa 50%, Berprestasi/Kurang Mampu</v>
          </cell>
          <cell r="E36" t="str">
            <v>Angkatan 1</v>
          </cell>
        </row>
        <row r="37">
          <cell r="B37" t="str">
            <v>Noni Rihhadatul Aisya</v>
          </cell>
          <cell r="C37" t="str">
            <v>YA</v>
          </cell>
          <cell r="D37" t="str">
            <v>Beasiswa 50%, Berprestasi/Kurang Mampu</v>
          </cell>
          <cell r="E37" t="str">
            <v>Angkatan 1</v>
          </cell>
        </row>
        <row r="38">
          <cell r="B38" t="str">
            <v>Tiara Putri Masthurine</v>
          </cell>
          <cell r="C38" t="str">
            <v>YA</v>
          </cell>
          <cell r="D38" t="str">
            <v>Beasiswa 50%, Berprestasi/Kurang Mampu</v>
          </cell>
          <cell r="E38" t="str">
            <v>Angkatan 1</v>
          </cell>
        </row>
        <row r="39">
          <cell r="B39" t="str">
            <v>Ni Ketut Ayu Intanna Dewi</v>
          </cell>
          <cell r="C39" t="str">
            <v>YA</v>
          </cell>
          <cell r="D39" t="str">
            <v>Beasiswa 50%, Berprestasi/Kurang Mampu</v>
          </cell>
          <cell r="E39" t="str">
            <v>Angkatan 1</v>
          </cell>
        </row>
        <row r="40">
          <cell r="B40" t="str">
            <v>Hilwani</v>
          </cell>
          <cell r="C40" t="str">
            <v>YA</v>
          </cell>
          <cell r="D40" t="str">
            <v>Beasiswa 50%, Berprestasi/Kurang Mampu</v>
          </cell>
          <cell r="E40" t="str">
            <v>Angkatan 1</v>
          </cell>
        </row>
        <row r="41">
          <cell r="B41" t="str">
            <v>Andi Maulana Fajar Syah</v>
          </cell>
          <cell r="C41" t="str">
            <v>YA</v>
          </cell>
          <cell r="D41" t="str">
            <v>Beasiswa 50%, Berprestasi/Kurang Mampu</v>
          </cell>
          <cell r="E41" t="str">
            <v>Angkatan 1</v>
          </cell>
        </row>
        <row r="42">
          <cell r="B42" t="str">
            <v>Aldio Sanjaya</v>
          </cell>
          <cell r="C42" t="str">
            <v>YA</v>
          </cell>
          <cell r="D42" t="str">
            <v>Beasiswa 50%, Berprestasi/Kurang Mampu</v>
          </cell>
          <cell r="E42" t="str">
            <v>Angkatan 1</v>
          </cell>
        </row>
        <row r="43">
          <cell r="B43" t="str">
            <v>Muhammad Reza Fahlevi</v>
          </cell>
          <cell r="C43" t="str">
            <v>YA</v>
          </cell>
          <cell r="D43" t="str">
            <v>Beasiswa 50%, Berprestasi/Kurang Mampu</v>
          </cell>
          <cell r="E43" t="str">
            <v>Angkatan 1</v>
          </cell>
        </row>
        <row r="44">
          <cell r="B44" t="str">
            <v>Robby Putra Priyatna</v>
          </cell>
          <cell r="C44" t="str">
            <v>YA</v>
          </cell>
          <cell r="D44" t="str">
            <v>Beasiswa 50%, Berprestasi/Kurang Mampu</v>
          </cell>
          <cell r="E44" t="str">
            <v>Angkatan 1</v>
          </cell>
        </row>
        <row r="45">
          <cell r="B45" t="str">
            <v>Jainal Azhari Batubara</v>
          </cell>
          <cell r="C45" t="str">
            <v>YA</v>
          </cell>
          <cell r="D45" t="str">
            <v>Beasiswa 50%, Berprestasi/Kurang Mampu</v>
          </cell>
          <cell r="E45" t="str">
            <v>Angkatan 1</v>
          </cell>
        </row>
        <row r="46">
          <cell r="B46" t="str">
            <v>Umar Ahmad Zain</v>
          </cell>
          <cell r="C46" t="str">
            <v>YA</v>
          </cell>
          <cell r="D46" t="str">
            <v>Beasiswa 50%, Berprestasi/Kurang Mampu</v>
          </cell>
          <cell r="E46" t="str">
            <v>Angkatan 1</v>
          </cell>
        </row>
        <row r="47">
          <cell r="B47" t="str">
            <v>Frans Tito Pangihutan Sitompul</v>
          </cell>
          <cell r="C47" t="str">
            <v>YA</v>
          </cell>
          <cell r="D47" t="str">
            <v>Beasiswa 50% Putra Putri Jaksa</v>
          </cell>
          <cell r="E47" t="str">
            <v>Angkatan 1</v>
          </cell>
        </row>
        <row r="48">
          <cell r="B48" t="str">
            <v>Pradhana Mahardhika Swastyayana</v>
          </cell>
          <cell r="C48" t="str">
            <v>YA</v>
          </cell>
          <cell r="D48" t="str">
            <v>Beasiswa 50% Berprestasi-Kurang Mampu</v>
          </cell>
          <cell r="E48" t="str">
            <v>Angkatan 1</v>
          </cell>
        </row>
        <row r="49">
          <cell r="B49" t="str">
            <v>Ahmad Sodiqin</v>
          </cell>
          <cell r="C49" t="str">
            <v>YA</v>
          </cell>
          <cell r="D49" t="str">
            <v>Beasiswa 30% Kurang Mampu</v>
          </cell>
          <cell r="E49" t="str">
            <v>Angkatan 1</v>
          </cell>
        </row>
        <row r="50">
          <cell r="B50" t="str">
            <v>Fahmil Qur'an Tuasikal</v>
          </cell>
          <cell r="C50" t="str">
            <v>YA</v>
          </cell>
          <cell r="D50" t="str">
            <v>Beasiswa 100% Berprestasi</v>
          </cell>
          <cell r="E50" t="str">
            <v>Angkatan 1</v>
          </cell>
        </row>
        <row r="51">
          <cell r="B51" t="str">
            <v>Simon Pangihutan Simorangkir</v>
          </cell>
          <cell r="C51" t="str">
            <v>YA</v>
          </cell>
          <cell r="D51" t="str">
            <v>Beasiswa 50%, Berprestasi</v>
          </cell>
          <cell r="E51" t="str">
            <v>Angkatan 2</v>
          </cell>
        </row>
        <row r="52">
          <cell r="B52" t="str">
            <v>Muhammad Hidayat</v>
          </cell>
          <cell r="C52" t="str">
            <v>YA</v>
          </cell>
          <cell r="D52" t="str">
            <v>Beasiswa 25% Kurang Mampu-Pegawai Kejaksaan</v>
          </cell>
          <cell r="E52" t="str">
            <v>Angkatan 2</v>
          </cell>
        </row>
        <row r="53">
          <cell r="B53" t="str">
            <v>Muhammad Kelvin Lastoro</v>
          </cell>
          <cell r="C53" t="str">
            <v>YA</v>
          </cell>
          <cell r="D53" t="str">
            <v>Beasiswa 50%, Berprestasi/Kurang Mampu</v>
          </cell>
          <cell r="E53" t="str">
            <v>Angkatan 2</v>
          </cell>
        </row>
        <row r="54">
          <cell r="B54" t="str">
            <v>Rachel Costa Monica Ansanay</v>
          </cell>
          <cell r="C54" t="str">
            <v>YA</v>
          </cell>
          <cell r="D54" t="str">
            <v>Beasiswa 100%, Keluarga Adhyaksa (Putra Putri Jaksa)</v>
          </cell>
          <cell r="E54" t="str">
            <v>Angkatan 3</v>
          </cell>
        </row>
        <row r="55">
          <cell r="B55" t="str">
            <v>Amanda Dwi Kusuma Arifia</v>
          </cell>
          <cell r="C55" t="str">
            <v>YA</v>
          </cell>
          <cell r="D55" t="str">
            <v>Beasiswa 100%, Keluarga Adhyaksa (Putra Putri Jaksa)</v>
          </cell>
          <cell r="E55" t="str">
            <v>Angkatan 3</v>
          </cell>
        </row>
        <row r="56">
          <cell r="B56" t="str">
            <v>Kenneth Brian Hattu</v>
          </cell>
          <cell r="C56" t="str">
            <v>YA</v>
          </cell>
          <cell r="D56" t="str">
            <v>Beasiswa 100%, Keluarga Adhyaksa (Putra Putri Jaksa)</v>
          </cell>
          <cell r="E56" t="str">
            <v>Angkatan 3</v>
          </cell>
        </row>
        <row r="57">
          <cell r="B57" t="str">
            <v>Sarah Jihan</v>
          </cell>
          <cell r="C57" t="str">
            <v>YA</v>
          </cell>
          <cell r="D57" t="str">
            <v>Beasiswa 100%, Keluarga Adhyaksa (Putra Putri Jaksa)</v>
          </cell>
          <cell r="E57" t="str">
            <v>Angkatan 3</v>
          </cell>
        </row>
        <row r="58">
          <cell r="B58" t="str">
            <v>Neyla Julieta Manurung</v>
          </cell>
          <cell r="C58" t="str">
            <v>YA</v>
          </cell>
          <cell r="D58" t="str">
            <v>Beasiswa 100%, Keluarga Adhyaksa (Putra Putri Jaksa)</v>
          </cell>
          <cell r="E58" t="str">
            <v>Angkatan 3</v>
          </cell>
        </row>
        <row r="59">
          <cell r="B59" t="str">
            <v>Tri Adi Saputra</v>
          </cell>
          <cell r="C59" t="str">
            <v>YA</v>
          </cell>
          <cell r="D59" t="str">
            <v>Beasiswa 80%, Umum-Pegawai RSU Adhyaksa</v>
          </cell>
          <cell r="E59" t="str">
            <v>Angkatan 3</v>
          </cell>
        </row>
        <row r="60">
          <cell r="B60" t="str">
            <v>Muhammad Azka Adilah</v>
          </cell>
          <cell r="C60" t="str">
            <v>YA</v>
          </cell>
          <cell r="D60" t="str">
            <v>Beasiswa 50%, Berprestasi-Pegawai Kejaksaan</v>
          </cell>
          <cell r="E60" t="str">
            <v>Angkatan 3</v>
          </cell>
        </row>
        <row r="61">
          <cell r="B61" t="str">
            <v>Sifak Ardhiansyah</v>
          </cell>
          <cell r="C61" t="str">
            <v>YA</v>
          </cell>
          <cell r="D61" t="str">
            <v>Beasiswa 50%, Berprestasi-Pegawai Kejaksaan</v>
          </cell>
          <cell r="E61" t="str">
            <v>Angkatan 3</v>
          </cell>
        </row>
        <row r="62">
          <cell r="B62" t="str">
            <v>Amelia</v>
          </cell>
          <cell r="C62" t="str">
            <v>YA</v>
          </cell>
          <cell r="D62" t="str">
            <v>Beasiswa 50%, Berprestasi/Kurang Mampu</v>
          </cell>
          <cell r="E62" t="str">
            <v>Angkatan 3</v>
          </cell>
        </row>
        <row r="63">
          <cell r="B63" t="str">
            <v>Farrel Ardan Biantoro</v>
          </cell>
          <cell r="C63" t="str">
            <v>YA</v>
          </cell>
          <cell r="D63" t="str">
            <v>Beasiswa 50%, Berprestasi/Kurang Mampu</v>
          </cell>
          <cell r="E63" t="str">
            <v>Angkatan 3</v>
          </cell>
        </row>
        <row r="64">
          <cell r="B64" t="str">
            <v>Gerald Axel Matthew Monoarfa</v>
          </cell>
          <cell r="C64" t="str">
            <v>YA</v>
          </cell>
          <cell r="D64" t="str">
            <v>Beasiswa 50%, Berprestasi/Kurang Mampu</v>
          </cell>
          <cell r="E64" t="str">
            <v>Angkatan 3</v>
          </cell>
        </row>
        <row r="65">
          <cell r="B65" t="str">
            <v>Jihanaifah Islami Salsabila</v>
          </cell>
          <cell r="C65" t="str">
            <v>YA</v>
          </cell>
          <cell r="D65" t="str">
            <v>Beasiswa 50%, Berprestasi/Kurang Mampu</v>
          </cell>
          <cell r="E65" t="str">
            <v>Angkatan 3</v>
          </cell>
        </row>
        <row r="66">
          <cell r="B66" t="str">
            <v>Sabriyana Tifani Simanungkalit</v>
          </cell>
          <cell r="C66" t="str">
            <v>YA</v>
          </cell>
          <cell r="D66" t="str">
            <v>Beasiswa 50%, Berprestasi/Kurang Mampu</v>
          </cell>
          <cell r="E66" t="str">
            <v>Angkatan 3</v>
          </cell>
        </row>
        <row r="67">
          <cell r="B67" t="str">
            <v>Saqia Balqis Fadina</v>
          </cell>
          <cell r="C67" t="str">
            <v>YA</v>
          </cell>
          <cell r="D67" t="str">
            <v>Beasiswa 50%, Berprestasi/Kurang Mampu</v>
          </cell>
          <cell r="E67" t="str">
            <v>Angkatan 3</v>
          </cell>
        </row>
        <row r="68">
          <cell r="B68" t="str">
            <v>Shania Rivane Ramadhani</v>
          </cell>
          <cell r="C68" t="str">
            <v>YA</v>
          </cell>
          <cell r="D68" t="str">
            <v>Beasiswa 50%, Berprestasi/Kurang Mampu</v>
          </cell>
          <cell r="E68" t="str">
            <v>Angkatan 3</v>
          </cell>
        </row>
        <row r="69">
          <cell r="B69" t="str">
            <v>Sopiya Salwa Salsabila</v>
          </cell>
          <cell r="C69" t="str">
            <v>YA</v>
          </cell>
          <cell r="D69" t="str">
            <v>Beasiswa 50%, Berprestasi/Kurang Mampu</v>
          </cell>
          <cell r="E69" t="str">
            <v>Angkatan 3</v>
          </cell>
        </row>
        <row r="70">
          <cell r="B70" t="str">
            <v>Tasya Rohana</v>
          </cell>
          <cell r="C70" t="str">
            <v>YA</v>
          </cell>
          <cell r="D70" t="str">
            <v>Beasiswa 50%, Berprestasi/Kurang Mampu</v>
          </cell>
          <cell r="E70" t="str">
            <v>Angkatan 3</v>
          </cell>
        </row>
        <row r="71">
          <cell r="B71" t="str">
            <v>Yohanes Putra Randa Labi</v>
          </cell>
          <cell r="C71" t="str">
            <v>YA</v>
          </cell>
          <cell r="D71" t="str">
            <v>Beasiswa 50%, Berprestasi/Kurang Mampu</v>
          </cell>
          <cell r="E71" t="str">
            <v>Angkatan 3</v>
          </cell>
        </row>
        <row r="72">
          <cell r="B72" t="str">
            <v>Muhammad Alifie Rahmanda</v>
          </cell>
          <cell r="C72" t="str">
            <v>YA</v>
          </cell>
          <cell r="D72" t="str">
            <v>Beasiswa 50%, Berprestasi/Kurang Mampu</v>
          </cell>
          <cell r="E72" t="str">
            <v>Angkatan 3</v>
          </cell>
        </row>
        <row r="73">
          <cell r="B73" t="str">
            <v>Ananda Desafa Putri</v>
          </cell>
          <cell r="C73" t="str">
            <v>YA</v>
          </cell>
          <cell r="D73" t="str">
            <v>Beasiswa 50%, Berprestasi/Kurang Mampu</v>
          </cell>
          <cell r="E73" t="str">
            <v>Angkatan 3</v>
          </cell>
        </row>
        <row r="74">
          <cell r="B74" t="str">
            <v>Nita Yulia</v>
          </cell>
          <cell r="C74" t="str">
            <v>YA</v>
          </cell>
          <cell r="D74" t="str">
            <v>Beasiswa 20%, Berprestasi/Kurang Mampu</v>
          </cell>
          <cell r="E74" t="str">
            <v>Angkatan 3</v>
          </cell>
        </row>
        <row r="75">
          <cell r="B75" t="str">
            <v>Bintang Arya Putra</v>
          </cell>
          <cell r="C75" t="str">
            <v>YA</v>
          </cell>
          <cell r="D75" t="str">
            <v>Beasiswa 70%, Berprestasi/Kurang Mampu</v>
          </cell>
          <cell r="E75" t="str">
            <v>Angkatan 3</v>
          </cell>
        </row>
        <row r="76">
          <cell r="B76" t="str">
            <v>Hery Nur Rohmat</v>
          </cell>
          <cell r="C76" t="str">
            <v>YA</v>
          </cell>
          <cell r="D76" t="str">
            <v>Beasiswa 100%, Umum</v>
          </cell>
          <cell r="E76" t="str">
            <v>Angkatan 4</v>
          </cell>
        </row>
        <row r="77">
          <cell r="B77" t="str">
            <v>Muhammad Salman</v>
          </cell>
          <cell r="C77" t="str">
            <v>YA</v>
          </cell>
          <cell r="D77" t="str">
            <v>Beasiswa 100%, Umum</v>
          </cell>
          <cell r="E77" t="str">
            <v>Angkatan 4</v>
          </cell>
        </row>
        <row r="78">
          <cell r="B78" t="str">
            <v>Achmad Junaidi</v>
          </cell>
          <cell r="C78" t="str">
            <v>YA</v>
          </cell>
          <cell r="D78" t="str">
            <v>Beasiswa 100%, Umum</v>
          </cell>
          <cell r="E78" t="str">
            <v>Angkatan 4</v>
          </cell>
        </row>
        <row r="79">
          <cell r="B79" t="str">
            <v>Audy Nur Fauziyah</v>
          </cell>
          <cell r="C79" t="str">
            <v>YA</v>
          </cell>
          <cell r="D79" t="str">
            <v>Beasiswa 100%, Umum</v>
          </cell>
          <cell r="E79" t="str">
            <v>Angkatan 4</v>
          </cell>
        </row>
        <row r="80">
          <cell r="B80" t="str">
            <v>Raffi Farid Ahmad</v>
          </cell>
          <cell r="C80" t="str">
            <v>YA</v>
          </cell>
          <cell r="D80" t="str">
            <v>Beasiswa 100%, Umum</v>
          </cell>
          <cell r="E80" t="str">
            <v>Angkatan 4</v>
          </cell>
        </row>
        <row r="81">
          <cell r="B81" t="str">
            <v>Rus'an</v>
          </cell>
          <cell r="C81" t="str">
            <v>YA</v>
          </cell>
          <cell r="D81" t="str">
            <v>Beasiswa 100%, Umum</v>
          </cell>
          <cell r="E81" t="str">
            <v>Angkatan 4</v>
          </cell>
        </row>
        <row r="82">
          <cell r="B82" t="str">
            <v>Yusri Nuryanto</v>
          </cell>
          <cell r="C82" t="str">
            <v>YA</v>
          </cell>
          <cell r="D82" t="str">
            <v>Beasiswa 100%, Umum</v>
          </cell>
          <cell r="E82" t="str">
            <v>Angkatan 4</v>
          </cell>
        </row>
        <row r="83">
          <cell r="B83" t="str">
            <v>Nabila Azzah Luthfiyyah</v>
          </cell>
          <cell r="C83" t="str">
            <v>YA</v>
          </cell>
          <cell r="D83" t="str">
            <v>Beasiswa 100%, Umum</v>
          </cell>
          <cell r="E83" t="str">
            <v>Angkatan 4</v>
          </cell>
        </row>
        <row r="84">
          <cell r="B84" t="str">
            <v>Muhammad Haikal Adha</v>
          </cell>
          <cell r="C84" t="str">
            <v>YA</v>
          </cell>
          <cell r="D84" t="str">
            <v>Beasiswa 100%, Umum</v>
          </cell>
          <cell r="E84" t="str">
            <v>Angkatan 4</v>
          </cell>
        </row>
        <row r="85">
          <cell r="B85" t="str">
            <v>Nathania Trixie Masikome</v>
          </cell>
          <cell r="C85" t="str">
            <v>YA</v>
          </cell>
          <cell r="D85" t="str">
            <v>Beasiswa 80%, Keluarga Adhyaksa (Putra Putri Jaksa)</v>
          </cell>
          <cell r="E85" t="str">
            <v>Angkatan 4</v>
          </cell>
        </row>
        <row r="86">
          <cell r="B86" t="str">
            <v>Nata Meilani</v>
          </cell>
          <cell r="C86" t="str">
            <v>YA</v>
          </cell>
          <cell r="D86" t="str">
            <v>Beasiswa 80%, Berprestasi/Kurang Mampu</v>
          </cell>
          <cell r="E86" t="str">
            <v>Angkatan 4</v>
          </cell>
        </row>
        <row r="87">
          <cell r="B87" t="str">
            <v>Abd Kadir</v>
          </cell>
          <cell r="C87" t="str">
            <v>YA</v>
          </cell>
          <cell r="D87" t="str">
            <v>Beasiswa 80%, Berprestasi/Kurang Mampu</v>
          </cell>
          <cell r="E87" t="str">
            <v>Angkatan 4</v>
          </cell>
        </row>
        <row r="88">
          <cell r="B88" t="str">
            <v>Indriani Sari</v>
          </cell>
          <cell r="C88" t="str">
            <v>YA</v>
          </cell>
          <cell r="D88" t="str">
            <v>Beasiswa 80%, Berprestasi/Kurang Mampu</v>
          </cell>
          <cell r="E88" t="str">
            <v>Angkatan 4</v>
          </cell>
        </row>
        <row r="89">
          <cell r="B89" t="str">
            <v>Muhammad Iqdam Haqkiki</v>
          </cell>
          <cell r="C89" t="str">
            <v>YA</v>
          </cell>
          <cell r="D89" t="str">
            <v>Beasiswa 80%, Berprestasi/Kurang Mampu</v>
          </cell>
          <cell r="E89" t="str">
            <v>Angkatan 4</v>
          </cell>
        </row>
        <row r="90">
          <cell r="B90" t="str">
            <v>Muhamad Fadli Andriansyah</v>
          </cell>
          <cell r="C90" t="str">
            <v>YA</v>
          </cell>
          <cell r="D90" t="str">
            <v>Beasiswa 70%, Berprestasi/Kurang Mampu</v>
          </cell>
          <cell r="E90" t="str">
            <v>Angkatan 4</v>
          </cell>
        </row>
        <row r="91">
          <cell r="B91" t="str">
            <v>Chandra Adhi Nugraha</v>
          </cell>
          <cell r="C91" t="str">
            <v>YA</v>
          </cell>
          <cell r="D91" t="str">
            <v>Beasiswa 70%, Berprestasi/Kurang Mampu</v>
          </cell>
          <cell r="E91" t="str">
            <v>Angkatan 4</v>
          </cell>
        </row>
        <row r="92">
          <cell r="B92" t="str">
            <v>Bella Palentin</v>
          </cell>
          <cell r="C92" t="str">
            <v>YA</v>
          </cell>
          <cell r="D92" t="str">
            <v>Beasiswa 70%, Berprestasi/Kurang Mampu</v>
          </cell>
          <cell r="E92" t="str">
            <v>Angkatan 4</v>
          </cell>
        </row>
        <row r="93">
          <cell r="B93" t="str">
            <v>Treingginas Al misbakh Bajuri Harun</v>
          </cell>
          <cell r="C93" t="str">
            <v>YA</v>
          </cell>
          <cell r="D93" t="str">
            <v>Beasiswa 70%, Berprestasi/Kurang Mampu</v>
          </cell>
          <cell r="E93" t="str">
            <v>Angkatan 4</v>
          </cell>
        </row>
        <row r="94">
          <cell r="B94" t="str">
            <v>Aisyah Ghanniyyah Inas</v>
          </cell>
          <cell r="C94" t="str">
            <v>YA</v>
          </cell>
          <cell r="D94" t="str">
            <v>Beasiswa 50%, Berprestasi/Kurang Mampu</v>
          </cell>
          <cell r="E94" t="str">
            <v>Angkatan 4</v>
          </cell>
        </row>
        <row r="95">
          <cell r="B95" t="str">
            <v>Anastasya Putrian Khaira</v>
          </cell>
          <cell r="C95" t="str">
            <v>YA</v>
          </cell>
          <cell r="D95" t="str">
            <v>Beasiswa 50%, Berprestasi/Kurang Mampu</v>
          </cell>
          <cell r="E95" t="str">
            <v>Angkatan 4</v>
          </cell>
        </row>
        <row r="96">
          <cell r="B96" t="str">
            <v>Baiq Harisa Andini</v>
          </cell>
          <cell r="C96" t="str">
            <v>YA</v>
          </cell>
          <cell r="D96" t="str">
            <v>Beasiswa 50%, Berprestasi/Kurang Mampu</v>
          </cell>
          <cell r="E96" t="str">
            <v>Angkatan 4</v>
          </cell>
        </row>
        <row r="97">
          <cell r="B97" t="str">
            <v>Bestari Kartika Putri</v>
          </cell>
          <cell r="C97" t="str">
            <v>YA</v>
          </cell>
          <cell r="D97" t="str">
            <v>Beasiswa 50%, Berprestasi/Kurang Mampu</v>
          </cell>
          <cell r="E97" t="str">
            <v>Angkatan 4</v>
          </cell>
        </row>
        <row r="98">
          <cell r="B98" t="str">
            <v>Diaz Alif Cahya</v>
          </cell>
          <cell r="C98" t="str">
            <v>YA</v>
          </cell>
          <cell r="D98" t="str">
            <v>Beasiswa 50%, Berprestasi/Kurang Mampu</v>
          </cell>
          <cell r="E98" t="str">
            <v>Angkatan 4</v>
          </cell>
        </row>
        <row r="99">
          <cell r="B99" t="str">
            <v>Diva Prasetia</v>
          </cell>
          <cell r="C99" t="str">
            <v>YA</v>
          </cell>
          <cell r="D99" t="str">
            <v>Beasiswa 50%, Berprestasi/Kurang Mampu</v>
          </cell>
          <cell r="E99" t="str">
            <v>Angkatan 4</v>
          </cell>
        </row>
        <row r="100">
          <cell r="B100" t="str">
            <v>Evita Nurhidayah </v>
          </cell>
          <cell r="C100" t="str">
            <v>YA</v>
          </cell>
          <cell r="D100" t="str">
            <v>Beasiswa 50%, Berprestasi/Kurang Mampu</v>
          </cell>
          <cell r="E100" t="str">
            <v>Angkatan 4</v>
          </cell>
        </row>
        <row r="101">
          <cell r="B101" t="str">
            <v>Ibnu Rizqi Suwondo</v>
          </cell>
          <cell r="C101" t="str">
            <v>YA</v>
          </cell>
          <cell r="D101" t="str">
            <v>Beasiswa 50%, Berprestasi/Kurang Mampu</v>
          </cell>
          <cell r="E101" t="str">
            <v>Angkatan 4</v>
          </cell>
        </row>
        <row r="102">
          <cell r="B102" t="str">
            <v>Julia Rain Nada</v>
          </cell>
          <cell r="C102" t="str">
            <v>YA</v>
          </cell>
          <cell r="D102" t="str">
            <v>Beasiswa 50%, Berprestasi/Kurang Mampu</v>
          </cell>
          <cell r="E102" t="str">
            <v>Angkatan 4</v>
          </cell>
        </row>
        <row r="103">
          <cell r="B103" t="str">
            <v>Kerenhapukh Simbolon</v>
          </cell>
          <cell r="C103" t="str">
            <v>YA</v>
          </cell>
          <cell r="D103" t="str">
            <v>Beasiswa 50%, Berprestasi/Kurang Mampu</v>
          </cell>
          <cell r="E103" t="str">
            <v>Angkatan 4</v>
          </cell>
        </row>
        <row r="104">
          <cell r="B104" t="str">
            <v>Khairul Umam Ganda Nusantara</v>
          </cell>
          <cell r="C104" t="str">
            <v>YA</v>
          </cell>
          <cell r="D104" t="str">
            <v>Beasiswa 50%, Berprestasi/Kurang Mampu</v>
          </cell>
          <cell r="E104" t="str">
            <v>Angkatan 4</v>
          </cell>
        </row>
        <row r="105">
          <cell r="B105" t="str">
            <v>Melani Ayu Viranantika</v>
          </cell>
          <cell r="C105" t="str">
            <v>YA</v>
          </cell>
          <cell r="D105" t="str">
            <v>Beasiswa 50%, Berprestasi/Kurang Mampu</v>
          </cell>
          <cell r="E105" t="str">
            <v>Angkatan 4</v>
          </cell>
        </row>
        <row r="106">
          <cell r="B106" t="str">
            <v>Mochamad Surya Fadillah</v>
          </cell>
          <cell r="C106" t="str">
            <v>YA</v>
          </cell>
          <cell r="D106" t="str">
            <v>Beasiswa 50%, Berprestasi/Kurang Mampu</v>
          </cell>
          <cell r="E106" t="str">
            <v>Angkatan 4</v>
          </cell>
        </row>
        <row r="107">
          <cell r="B107" t="str">
            <v>Muhamad Sadam</v>
          </cell>
          <cell r="C107" t="str">
            <v>YA</v>
          </cell>
          <cell r="D107" t="str">
            <v>Beasiswa 50%, Berprestasi/Kurang Mampu</v>
          </cell>
          <cell r="E107" t="str">
            <v>Angkatan 4</v>
          </cell>
        </row>
        <row r="108">
          <cell r="B108" t="str">
            <v>Ochi Via Parmadhea</v>
          </cell>
          <cell r="C108" t="str">
            <v>YA</v>
          </cell>
          <cell r="D108" t="str">
            <v>Beasiswa 50%, Berprestasi/Kurang Mampu</v>
          </cell>
          <cell r="E108" t="str">
            <v>Angkatan 4</v>
          </cell>
        </row>
        <row r="109">
          <cell r="B109" t="str">
            <v>Patri Ansiah Sinabutar</v>
          </cell>
          <cell r="C109" t="str">
            <v>YA</v>
          </cell>
          <cell r="D109" t="str">
            <v>Beasiswa 50%, Berprestasi/Kurang Mampu</v>
          </cell>
          <cell r="E109" t="str">
            <v>Angkatan 4</v>
          </cell>
        </row>
        <row r="110">
          <cell r="B110" t="str">
            <v xml:space="preserve">Rafa Ibrahim Siregar </v>
          </cell>
          <cell r="C110" t="str">
            <v>YA</v>
          </cell>
          <cell r="D110" t="str">
            <v>Beasiswa 50%, Berprestasi/Kurang Mampu</v>
          </cell>
          <cell r="E110" t="str">
            <v>Angkatan 4</v>
          </cell>
        </row>
        <row r="111">
          <cell r="B111" t="str">
            <v>Raihan Aqil Rinaldi</v>
          </cell>
          <cell r="C111" t="str">
            <v>YA</v>
          </cell>
          <cell r="D111" t="str">
            <v>Beasiswa 50%, Berprestasi/Kurang Mampu</v>
          </cell>
          <cell r="E111" t="str">
            <v>Angkatan 4</v>
          </cell>
        </row>
        <row r="112">
          <cell r="B112" t="str">
            <v>Ravindra</v>
          </cell>
          <cell r="C112" t="str">
            <v>YA</v>
          </cell>
          <cell r="D112" t="str">
            <v>Beasiswa 50%, Berprestasi/Kurang Mampu</v>
          </cell>
          <cell r="E112" t="str">
            <v>Angkatan 4</v>
          </cell>
        </row>
        <row r="113">
          <cell r="B113" t="str">
            <v>Ruhama Nur Azizah</v>
          </cell>
          <cell r="C113" t="str">
            <v>YA</v>
          </cell>
          <cell r="D113" t="str">
            <v>Beasiswa 50%, Berprestasi/Kurang Mampu</v>
          </cell>
          <cell r="E113" t="str">
            <v>Angkatan 4</v>
          </cell>
        </row>
        <row r="114">
          <cell r="B114" t="str">
            <v>Greggi Ghufron Advando Maulana</v>
          </cell>
          <cell r="C114" t="str">
            <v>YA</v>
          </cell>
          <cell r="D114" t="str">
            <v>Beasiswa 50%, Berprestasi/Kurang Mampu</v>
          </cell>
          <cell r="E114" t="str">
            <v>Angkatan 4</v>
          </cell>
        </row>
        <row r="115">
          <cell r="B115" t="str">
            <v>Syah Alya Wijaya</v>
          </cell>
          <cell r="C115" t="str">
            <v>YA</v>
          </cell>
          <cell r="D115" t="str">
            <v>Beasiswa 50%, Berprestasi/Kurang Mampu</v>
          </cell>
          <cell r="E115" t="str">
            <v>Angkatan 4</v>
          </cell>
        </row>
        <row r="116">
          <cell r="B116" t="str">
            <v>Tasya Berliana Chintia</v>
          </cell>
          <cell r="C116" t="str">
            <v>YA</v>
          </cell>
          <cell r="D116" t="str">
            <v>Beasiswa 50%, Berprestasi/Kurang Mampu</v>
          </cell>
          <cell r="E116" t="str">
            <v>Angkatan 4</v>
          </cell>
        </row>
        <row r="117">
          <cell r="B117" t="str">
            <v>M Riski Winata</v>
          </cell>
          <cell r="C117" t="str">
            <v>YA</v>
          </cell>
          <cell r="D117" t="str">
            <v>Beasiswa 25%, Berprestasi/Kurang Mampu</v>
          </cell>
          <cell r="E117" t="str">
            <v>Angkatan 4</v>
          </cell>
        </row>
        <row r="118">
          <cell r="B118" t="str">
            <v>Muhammad Putera Alim</v>
          </cell>
          <cell r="C118" t="str">
            <v>YA</v>
          </cell>
          <cell r="D118" t="str">
            <v>Beasiswa 25%, Berprestasi/Kurang Mampu</v>
          </cell>
          <cell r="E118" t="str">
            <v>Angkatan 4</v>
          </cell>
        </row>
        <row r="119">
          <cell r="B119" t="str">
            <v>Dela Ayu Syafitri</v>
          </cell>
          <cell r="C119" t="str">
            <v>YA</v>
          </cell>
          <cell r="D119" t="str">
            <v>Beasiswa 20%, Berprestasi/Kurang Mampu</v>
          </cell>
          <cell r="E119" t="str">
            <v>Angkatan 4</v>
          </cell>
        </row>
        <row r="120">
          <cell r="B120" t="str">
            <v>Dirgahayu Maha Restu</v>
          </cell>
          <cell r="C120" t="str">
            <v>YA</v>
          </cell>
          <cell r="D120" t="str">
            <v>Beasiswa 20%, Berprestasi/Kurang Mampu</v>
          </cell>
          <cell r="E120" t="str">
            <v>Angkatan 4</v>
          </cell>
        </row>
        <row r="121">
          <cell r="B121" t="str">
            <v>Emanuel Thobias Ajoi</v>
          </cell>
          <cell r="C121" t="str">
            <v>YA</v>
          </cell>
          <cell r="D121" t="str">
            <v>Beasiswa 20%, Berprestasi/Kurang Mampu</v>
          </cell>
          <cell r="E121" t="str">
            <v>Angkatan 4</v>
          </cell>
        </row>
        <row r="122">
          <cell r="B122" t="str">
            <v>Jackayden Syaban Arsad</v>
          </cell>
          <cell r="C122" t="str">
            <v>YA</v>
          </cell>
          <cell r="D122" t="str">
            <v>Beasiswa 20%, Berprestasi/Kurang Mampu</v>
          </cell>
          <cell r="E122" t="str">
            <v>Angkatan 4</v>
          </cell>
        </row>
        <row r="123">
          <cell r="B123" t="str">
            <v>Saul Sergius Ronsumbre</v>
          </cell>
          <cell r="C123" t="str">
            <v>YA</v>
          </cell>
          <cell r="D123" t="str">
            <v>Beasiswa 20%, Berprestasi/Kurang Mampu</v>
          </cell>
          <cell r="E123" t="str">
            <v>Angkatan 4</v>
          </cell>
        </row>
        <row r="124">
          <cell r="B124" t="str">
            <v>Zhahra Fazriyani</v>
          </cell>
          <cell r="C124" t="str">
            <v>YA</v>
          </cell>
          <cell r="D124" t="str">
            <v>Beasiswa 20%, Berprestasi/Kurang Mampu</v>
          </cell>
          <cell r="E124" t="str">
            <v>Angkatan 4</v>
          </cell>
        </row>
        <row r="125">
          <cell r="B125" t="str">
            <v>Darren Putra Dahana</v>
          </cell>
          <cell r="C125" t="str">
            <v>YA</v>
          </cell>
          <cell r="D125" t="str">
            <v>Beasiswa 20%, Berprestasi/Kurang Mampu</v>
          </cell>
          <cell r="E125" t="str">
            <v>Angkatan 4</v>
          </cell>
        </row>
        <row r="126">
          <cell r="B126" t="str">
            <v>Nandar Wulan</v>
          </cell>
          <cell r="C126" t="str">
            <v>YA</v>
          </cell>
          <cell r="D126" t="str">
            <v>Beasiswa 100%, IFG</v>
          </cell>
          <cell r="E126" t="str">
            <v>Angkatan 5</v>
          </cell>
        </row>
        <row r="127">
          <cell r="B127" t="str">
            <v>Amira Nur Mecca Lubis</v>
          </cell>
          <cell r="C127" t="str">
            <v>YA</v>
          </cell>
          <cell r="D127" t="str">
            <v>Beasiswa 100%, IFG</v>
          </cell>
          <cell r="E127" t="str">
            <v>Angkatan 5</v>
          </cell>
        </row>
        <row r="128">
          <cell r="B128" t="str">
            <v>Nadhifa Aulia Yasmin</v>
          </cell>
          <cell r="C128" t="str">
            <v>YA</v>
          </cell>
          <cell r="D128" t="str">
            <v>Beasiswa 100%, IFG</v>
          </cell>
          <cell r="E128" t="str">
            <v>Angkatan 5</v>
          </cell>
        </row>
        <row r="129">
          <cell r="B129" t="str">
            <v>Anesah</v>
          </cell>
          <cell r="C129" t="str">
            <v>YA</v>
          </cell>
          <cell r="D129" t="str">
            <v>Beasiswa 100%, IFG</v>
          </cell>
          <cell r="E129" t="str">
            <v>Angkatan 5</v>
          </cell>
        </row>
        <row r="130">
          <cell r="B130" t="str">
            <v>Kayla Agisna Azkiya</v>
          </cell>
          <cell r="C130" t="str">
            <v>YA</v>
          </cell>
          <cell r="D130" t="str">
            <v>Beasiswa 100%, IFG</v>
          </cell>
          <cell r="E130" t="str">
            <v>Angkatan 5</v>
          </cell>
        </row>
        <row r="131">
          <cell r="B131" t="str">
            <v>Fernando Risky Andriawan</v>
          </cell>
          <cell r="C131" t="str">
            <v>YA</v>
          </cell>
          <cell r="D131" t="str">
            <v>Beasiswa 100%, IFG</v>
          </cell>
          <cell r="E131" t="str">
            <v>Angkatan 5</v>
          </cell>
        </row>
        <row r="132">
          <cell r="B132" t="str">
            <v>Balqis Nabilla</v>
          </cell>
          <cell r="C132" t="str">
            <v>YA</v>
          </cell>
          <cell r="D132" t="str">
            <v>Beasiswa 100%, IFG</v>
          </cell>
          <cell r="E132" t="str">
            <v>Angkatan 5</v>
          </cell>
        </row>
        <row r="133">
          <cell r="B133" t="str">
            <v>Delka Orgiandana Arnov</v>
          </cell>
          <cell r="C133" t="str">
            <v>YA</v>
          </cell>
          <cell r="D133" t="str">
            <v>Beasiswa 100%, IFG</v>
          </cell>
          <cell r="E133" t="str">
            <v>Angkatan 5</v>
          </cell>
        </row>
        <row r="134">
          <cell r="B134" t="str">
            <v>Siti Adelia Putri Zahira</v>
          </cell>
          <cell r="C134" t="str">
            <v>YA</v>
          </cell>
          <cell r="D134" t="str">
            <v>Beasiswa 100%, IFG</v>
          </cell>
          <cell r="E134" t="str">
            <v>Angkatan 5</v>
          </cell>
        </row>
        <row r="135">
          <cell r="B135" t="str">
            <v>Nasywa Inas Affifah</v>
          </cell>
          <cell r="C135" t="str">
            <v>YA</v>
          </cell>
          <cell r="D135" t="str">
            <v>Beasiswa 100%, IFG</v>
          </cell>
          <cell r="E135" t="str">
            <v>Angkatan 5</v>
          </cell>
        </row>
        <row r="136">
          <cell r="B136" t="str">
            <v>Fajar Islami</v>
          </cell>
          <cell r="C136" t="str">
            <v>YA</v>
          </cell>
          <cell r="D136" t="str">
            <v>Beasiswa 100%, Yayasan Karya Bhakti Adhyaksa</v>
          </cell>
          <cell r="E136" t="str">
            <v>Angkatan 5</v>
          </cell>
        </row>
        <row r="137">
          <cell r="B137" t="str">
            <v>Pusanti</v>
          </cell>
          <cell r="C137" t="str">
            <v>YA</v>
          </cell>
          <cell r="D137" t="str">
            <v>Beasiswa 100%, Yayasan Karya Bhakti Adhyaksa</v>
          </cell>
          <cell r="E137" t="str">
            <v>Angkatan 5</v>
          </cell>
        </row>
        <row r="138">
          <cell r="B138" t="str">
            <v>Ding Chong</v>
          </cell>
          <cell r="C138" t="str">
            <v>YA</v>
          </cell>
          <cell r="D138" t="str">
            <v>Beasiswa 100%, Yayasan Karya Bhakti Adhyaksa</v>
          </cell>
          <cell r="E138" t="str">
            <v>Angkatan 5</v>
          </cell>
        </row>
        <row r="139">
          <cell r="B139" t="str">
            <v>Anthony</v>
          </cell>
          <cell r="C139" t="str">
            <v>YA</v>
          </cell>
          <cell r="D139" t="str">
            <v>Beasiswa 100%, Yayasan Karya Bhakti Adhyaksa</v>
          </cell>
          <cell r="E139" t="str">
            <v>Angkatan 5</v>
          </cell>
        </row>
        <row r="140">
          <cell r="B140" t="str">
            <v>Syarifah Radhwa Rabbani Irsan</v>
          </cell>
          <cell r="C140" t="str">
            <v>YA</v>
          </cell>
          <cell r="D140" t="str">
            <v>Beasiswa 100%, Yayasan Karya Bhakti Adhyaksa</v>
          </cell>
          <cell r="E140" t="str">
            <v>Angkatan 5</v>
          </cell>
        </row>
        <row r="141">
          <cell r="B141" t="str">
            <v>Kayla Nabila Putri</v>
          </cell>
          <cell r="C141" t="str">
            <v>YA</v>
          </cell>
          <cell r="D141" t="str">
            <v>Beasiswa 100%, Yayasan Karya Bhakti Adhyaksa</v>
          </cell>
          <cell r="E141" t="str">
            <v>Angkatan 5</v>
          </cell>
        </row>
        <row r="142">
          <cell r="B142" t="str">
            <v>Luthfi Naufan Zulfikar</v>
          </cell>
          <cell r="C142" t="str">
            <v>YA</v>
          </cell>
          <cell r="D142" t="str">
            <v>Beasiswa 100%, Yayasan Karya Bhakti Adhyaksa</v>
          </cell>
          <cell r="E142" t="str">
            <v>Angkatan 5</v>
          </cell>
        </row>
        <row r="143">
          <cell r="B143" t="str">
            <v>Agusty Abu Isnaeni</v>
          </cell>
          <cell r="C143" t="str">
            <v>YA</v>
          </cell>
          <cell r="D143" t="str">
            <v>Solo</v>
          </cell>
          <cell r="E143" t="str">
            <v>Angkatan 5</v>
          </cell>
        </row>
        <row r="144">
          <cell r="B144" t="str">
            <v>Ilham Kurnia Sandy</v>
          </cell>
          <cell r="C144" t="str">
            <v>YA</v>
          </cell>
          <cell r="D144" t="str">
            <v>Solo</v>
          </cell>
          <cell r="E144" t="str">
            <v>Angkatan 5</v>
          </cell>
        </row>
        <row r="145">
          <cell r="B145" t="str">
            <v>Muhammad Naufal Al Hidayah</v>
          </cell>
          <cell r="C145" t="str">
            <v>YA</v>
          </cell>
          <cell r="D145" t="str">
            <v>Solo</v>
          </cell>
          <cell r="E145" t="str">
            <v>Angkatan 5</v>
          </cell>
        </row>
        <row r="146">
          <cell r="B146" t="str">
            <v>Zaki Nugraha</v>
          </cell>
          <cell r="C146" t="str">
            <v>YA</v>
          </cell>
          <cell r="D146" t="str">
            <v>Solo</v>
          </cell>
          <cell r="E146" t="str">
            <v>Angkatan 5</v>
          </cell>
        </row>
        <row r="147">
          <cell r="B147" t="str">
            <v>Rahman Wibowo</v>
          </cell>
          <cell r="C147" t="str">
            <v>YA</v>
          </cell>
          <cell r="D147" t="str">
            <v>Solo</v>
          </cell>
          <cell r="E147" t="str">
            <v>Angkatan 5</v>
          </cell>
        </row>
        <row r="148">
          <cell r="B148" t="str">
            <v>Muhammad Dzakwan Nabil</v>
          </cell>
          <cell r="C148" t="str">
            <v>YA</v>
          </cell>
          <cell r="D148" t="str">
            <v>Solo</v>
          </cell>
          <cell r="E148" t="str">
            <v>Angkatan 5</v>
          </cell>
        </row>
        <row r="149">
          <cell r="B149" t="str">
            <v>Abdul wahid</v>
          </cell>
          <cell r="C149" t="str">
            <v>YA</v>
          </cell>
          <cell r="D149" t="str">
            <v>Solo</v>
          </cell>
          <cell r="E149" t="str">
            <v>Angkatan 5</v>
          </cell>
        </row>
        <row r="150">
          <cell r="B150" t="str">
            <v>David Darmawan</v>
          </cell>
          <cell r="C150" t="str">
            <v>YA</v>
          </cell>
          <cell r="D150" t="str">
            <v>Solo</v>
          </cell>
          <cell r="E150" t="str">
            <v>Angkatan 5</v>
          </cell>
        </row>
        <row r="151">
          <cell r="B151" t="str">
            <v>Haiban habib</v>
          </cell>
          <cell r="C151" t="str">
            <v>YA</v>
          </cell>
          <cell r="D151" t="str">
            <v>Solo</v>
          </cell>
          <cell r="E151" t="str">
            <v>Angkatan 5</v>
          </cell>
        </row>
        <row r="152">
          <cell r="B152" t="str">
            <v>Amelia Nindya Antari</v>
          </cell>
          <cell r="C152" t="str">
            <v>YA</v>
          </cell>
          <cell r="D152" t="str">
            <v>Solo</v>
          </cell>
          <cell r="E152" t="str">
            <v>Angkatan 5</v>
          </cell>
        </row>
        <row r="153">
          <cell r="B153" t="str">
            <v>Aries Fahruddin</v>
          </cell>
          <cell r="C153" t="str">
            <v>YA</v>
          </cell>
          <cell r="D153" t="str">
            <v>Solo</v>
          </cell>
          <cell r="E153" t="str">
            <v>Angkatan 5</v>
          </cell>
        </row>
        <row r="154">
          <cell r="B154" t="str">
            <v>Muhammad As'ad Baiquni Rofi</v>
          </cell>
          <cell r="C154" t="str">
            <v>YA</v>
          </cell>
          <cell r="D154" t="str">
            <v>Solo</v>
          </cell>
          <cell r="E154" t="str">
            <v>Angkatan 5</v>
          </cell>
        </row>
        <row r="155">
          <cell r="B155" t="str">
            <v>Agung aribowo</v>
          </cell>
          <cell r="C155" t="str">
            <v>YA</v>
          </cell>
          <cell r="D155" t="str">
            <v>Solo</v>
          </cell>
          <cell r="E155" t="str">
            <v>Angkatan 5</v>
          </cell>
        </row>
        <row r="156">
          <cell r="B156" t="str">
            <v>Dewi Puspitasari</v>
          </cell>
          <cell r="C156" t="str">
            <v>YA</v>
          </cell>
          <cell r="D156" t="str">
            <v>Solo</v>
          </cell>
          <cell r="E156" t="str">
            <v>Angkatan 5</v>
          </cell>
        </row>
        <row r="157">
          <cell r="B157" t="str">
            <v>Meica Fatikha Choirunnisak</v>
          </cell>
          <cell r="C157" t="str">
            <v>YA</v>
          </cell>
          <cell r="D157" t="str">
            <v>Solo</v>
          </cell>
          <cell r="E157" t="str">
            <v>Angkatan 5</v>
          </cell>
        </row>
        <row r="158">
          <cell r="B158" t="str">
            <v>Triaji Satrio</v>
          </cell>
          <cell r="C158" t="str">
            <v>YA</v>
          </cell>
          <cell r="D158" t="str">
            <v>Solo</v>
          </cell>
          <cell r="E158" t="str">
            <v>Angkatan 5</v>
          </cell>
        </row>
        <row r="159">
          <cell r="B159" t="str">
            <v>Achmad Syaifudin</v>
          </cell>
          <cell r="C159" t="str">
            <v>YA</v>
          </cell>
          <cell r="D159" t="str">
            <v>Solo</v>
          </cell>
          <cell r="E159" t="str">
            <v>Angkatan 5</v>
          </cell>
        </row>
        <row r="160">
          <cell r="B160" t="str">
            <v>Muhammad Aqil Naufal Zen</v>
          </cell>
          <cell r="C160" t="str">
            <v>YA</v>
          </cell>
          <cell r="D160" t="str">
            <v>Solo</v>
          </cell>
          <cell r="E160" t="str">
            <v>Angkatan 5</v>
          </cell>
        </row>
        <row r="161">
          <cell r="B161" t="str">
            <v>Nissa Akmalia Zen</v>
          </cell>
          <cell r="C161" t="str">
            <v>YA</v>
          </cell>
          <cell r="D161" t="str">
            <v>Solo</v>
          </cell>
          <cell r="E161" t="str">
            <v>Angkatan 5</v>
          </cell>
        </row>
        <row r="162">
          <cell r="B162" t="str">
            <v>Aldreyfano Evan Rizky Fauzan</v>
          </cell>
          <cell r="C162" t="str">
            <v>YA</v>
          </cell>
          <cell r="D162" t="str">
            <v>Beasiswa 70%, Berprestasi/Kurang Mampu</v>
          </cell>
          <cell r="E162" t="str">
            <v>Angkatan 5</v>
          </cell>
        </row>
        <row r="163">
          <cell r="B163" t="str">
            <v>Fathin Akbar Farisma</v>
          </cell>
          <cell r="C163" t="str">
            <v>YA</v>
          </cell>
          <cell r="D163" t="str">
            <v>Beasiswa 70%, Berprestasi/Kurang Mampu</v>
          </cell>
          <cell r="E163" t="str">
            <v>Angkatan 5</v>
          </cell>
        </row>
        <row r="164">
          <cell r="B164" t="str">
            <v>Atha Hukama Ardyawati</v>
          </cell>
          <cell r="C164" t="str">
            <v>YA</v>
          </cell>
          <cell r="D164" t="str">
            <v>Beasiswa 50%, Berprestasi/Kurang Mampu</v>
          </cell>
          <cell r="E164" t="str">
            <v>Angkatan 5</v>
          </cell>
        </row>
        <row r="165">
          <cell r="B165" t="str">
            <v>Galih Rivane Febriansyah</v>
          </cell>
          <cell r="C165" t="str">
            <v>YA</v>
          </cell>
          <cell r="D165" t="str">
            <v>Beasiswa 50%, Berprestasi/Kurang Mampu</v>
          </cell>
          <cell r="E165" t="str">
            <v>Angkatan 5</v>
          </cell>
        </row>
        <row r="166">
          <cell r="B166" t="str">
            <v>Margaretha Happy Dianezra Sijabat</v>
          </cell>
          <cell r="C166" t="str">
            <v>YA</v>
          </cell>
          <cell r="D166" t="str">
            <v>Beasiswa 50%, Berprestasi/Kurang Mampu</v>
          </cell>
          <cell r="E166" t="str">
            <v>Angkatan 5</v>
          </cell>
        </row>
        <row r="167">
          <cell r="B167" t="str">
            <v>Muhammad Haikal</v>
          </cell>
          <cell r="C167" t="str">
            <v>YA</v>
          </cell>
          <cell r="D167" t="str">
            <v>Beasiswa 50%, Berprestasi/Kurang Mampu</v>
          </cell>
          <cell r="E167" t="str">
            <v>Angkatan 5</v>
          </cell>
        </row>
        <row r="168">
          <cell r="B168" t="str">
            <v>Athifa Farras Fazila</v>
          </cell>
          <cell r="C168" t="str">
            <v>YA</v>
          </cell>
          <cell r="D168" t="str">
            <v>Beasiswa 50%, Berprestasi/Kurang Mampu</v>
          </cell>
          <cell r="E168" t="str">
            <v>Angkatan 5</v>
          </cell>
        </row>
        <row r="169">
          <cell r="B169" t="str">
            <v>Arya Eka Putra</v>
          </cell>
          <cell r="C169" t="str">
            <v>YA</v>
          </cell>
          <cell r="D169" t="str">
            <v>Beasiswa 50%, Berprestasi/Kurang Mampu</v>
          </cell>
          <cell r="E169" t="str">
            <v>Angkatan 5</v>
          </cell>
        </row>
        <row r="170">
          <cell r="B170" t="str">
            <v>Bintang Rizky Hamonangan</v>
          </cell>
          <cell r="C170" t="str">
            <v>YA</v>
          </cell>
          <cell r="D170" t="str">
            <v>Beasiswa 50%, Berprestasi/Kurang Mampu</v>
          </cell>
          <cell r="E170" t="str">
            <v>Angkatan 5</v>
          </cell>
        </row>
        <row r="171">
          <cell r="B171" t="str">
            <v>Dennis Mahardika Haryono</v>
          </cell>
          <cell r="C171" t="str">
            <v>YA</v>
          </cell>
          <cell r="D171" t="str">
            <v>Beasiswa 50%, Berprestasi/Kurang Mampu</v>
          </cell>
          <cell r="E171" t="str">
            <v>Angkatan 5</v>
          </cell>
        </row>
        <row r="172">
          <cell r="B172" t="str">
            <v>Fathir Wira Hendra Putra</v>
          </cell>
          <cell r="C172" t="str">
            <v>YA</v>
          </cell>
          <cell r="D172" t="str">
            <v>Beasiswa 50%, Berprestasi/Kurang Mampu</v>
          </cell>
          <cell r="E172" t="str">
            <v>Angkatan 5</v>
          </cell>
        </row>
        <row r="173">
          <cell r="B173" t="str">
            <v>Miranda Eryna Vimala Bulan</v>
          </cell>
          <cell r="C173" t="str">
            <v>YA</v>
          </cell>
          <cell r="D173" t="str">
            <v>Beasiswa 50%, Berprestasi/Kurang Mampu</v>
          </cell>
          <cell r="E173" t="str">
            <v>Angkatan 5</v>
          </cell>
        </row>
        <row r="174">
          <cell r="B174" t="str">
            <v>Annisa Bunga Al-Khalifi</v>
          </cell>
          <cell r="C174" t="str">
            <v>YA</v>
          </cell>
          <cell r="D174" t="str">
            <v>Beasiswa 50%, Berprestasi/Kurang Mampu</v>
          </cell>
          <cell r="E174" t="str">
            <v>Angkatan 5</v>
          </cell>
        </row>
        <row r="175">
          <cell r="B175" t="str">
            <v>Elsha Anistira Puteri</v>
          </cell>
          <cell r="C175" t="str">
            <v>YA</v>
          </cell>
          <cell r="D175" t="str">
            <v>Beasiswa 50%, Berprestasi/Kurang Mampu</v>
          </cell>
          <cell r="E175" t="str">
            <v>Angkatan 5</v>
          </cell>
        </row>
        <row r="176">
          <cell r="B176" t="str">
            <v>Mohammad Darren Dzulhannan</v>
          </cell>
          <cell r="C176" t="str">
            <v>YA</v>
          </cell>
          <cell r="D176" t="str">
            <v>Beasiswa 20%, Berprestasi/Kurang Mampu</v>
          </cell>
          <cell r="E176" t="str">
            <v>Angkatan 5</v>
          </cell>
        </row>
        <row r="177">
          <cell r="B177" t="str">
            <v>Dafin Fachriza Rahman</v>
          </cell>
          <cell r="C177" t="str">
            <v>YA</v>
          </cell>
          <cell r="D177" t="str">
            <v>Beasiswa 20%, Berprestasi/Kurang Mampu</v>
          </cell>
          <cell r="E177" t="str">
            <v>Angkatan 5</v>
          </cell>
        </row>
        <row r="178">
          <cell r="B178" t="str">
            <v>Andik Prabowo</v>
          </cell>
          <cell r="C178" t="str">
            <v>YA</v>
          </cell>
          <cell r="D178" t="str">
            <v>Beasiswa</v>
          </cell>
          <cell r="E178" t="str">
            <v>Angkatan 5</v>
          </cell>
        </row>
        <row r="179">
          <cell r="B179" t="str">
            <v>Hardi Kurniawan</v>
          </cell>
          <cell r="C179" t="str">
            <v>YA</v>
          </cell>
          <cell r="D179" t="str">
            <v>Beasiswa</v>
          </cell>
          <cell r="E179" t="str">
            <v>Angkatan 5</v>
          </cell>
        </row>
        <row r="180">
          <cell r="B180" t="str">
            <v>Silviana Panjaitan</v>
          </cell>
          <cell r="C180" t="str">
            <v>YA</v>
          </cell>
          <cell r="D180" t="str">
            <v>Beasiswa</v>
          </cell>
          <cell r="E180" t="str">
            <v>Angkatan 5</v>
          </cell>
        </row>
        <row r="181">
          <cell r="B181" t="str">
            <v>Difdha Agusto</v>
          </cell>
          <cell r="C181" t="str">
            <v>YA</v>
          </cell>
          <cell r="D181" t="str">
            <v>Beasiswa</v>
          </cell>
          <cell r="E181" t="str">
            <v>Angkatan 5</v>
          </cell>
        </row>
        <row r="182">
          <cell r="B182" t="str">
            <v>Wahyu Widya Astuti</v>
          </cell>
          <cell r="C182" t="str">
            <v>YA</v>
          </cell>
          <cell r="D182" t="str">
            <v>Beasiswa</v>
          </cell>
          <cell r="E182" t="str">
            <v>Angkatan 5</v>
          </cell>
        </row>
        <row r="183">
          <cell r="B183" t="str">
            <v>La Ode Aji</v>
          </cell>
          <cell r="C183" t="str">
            <v>YA</v>
          </cell>
          <cell r="D183" t="str">
            <v>Beasiswa</v>
          </cell>
          <cell r="E183" t="str">
            <v>Angkatan 5</v>
          </cell>
        </row>
        <row r="184">
          <cell r="B184" t="str">
            <v>Desta Prastyo Tri Wigati</v>
          </cell>
          <cell r="C184" t="str">
            <v>YA</v>
          </cell>
          <cell r="D184" t="str">
            <v>Beasiswa</v>
          </cell>
          <cell r="E184" t="str">
            <v>Angkatan 5</v>
          </cell>
        </row>
        <row r="185">
          <cell r="B185" t="str">
            <v>Feri Ariyanto</v>
          </cell>
          <cell r="C185" t="str">
            <v>YA</v>
          </cell>
          <cell r="D185" t="str">
            <v>Beasiswa</v>
          </cell>
          <cell r="E185" t="str">
            <v>Angkatan 5</v>
          </cell>
        </row>
        <row r="186">
          <cell r="B186" t="str">
            <v>Feri Andriyanto</v>
          </cell>
          <cell r="C186" t="str">
            <v>YA</v>
          </cell>
          <cell r="D186" t="str">
            <v>Beasiswa</v>
          </cell>
          <cell r="E186" t="str">
            <v>Angkatan 5</v>
          </cell>
        </row>
        <row r="187">
          <cell r="B187" t="str">
            <v>Rizki Adibpansa</v>
          </cell>
          <cell r="C187" t="str">
            <v>YA</v>
          </cell>
          <cell r="D187" t="str">
            <v>Beasiswa</v>
          </cell>
          <cell r="E187" t="str">
            <v>Angkatan 5</v>
          </cell>
        </row>
        <row r="188">
          <cell r="B188" t="str">
            <v>Nur Edi Mustofa</v>
          </cell>
          <cell r="C188" t="str">
            <v>YA</v>
          </cell>
          <cell r="D188" t="str">
            <v>Beasiswa</v>
          </cell>
          <cell r="E188" t="str">
            <v>Angkatan 5</v>
          </cell>
        </row>
        <row r="189">
          <cell r="B189" t="str">
            <v>Subur Jianto</v>
          </cell>
          <cell r="C189" t="str">
            <v>YA</v>
          </cell>
          <cell r="D189" t="str">
            <v>Beasiswa</v>
          </cell>
          <cell r="E189" t="str">
            <v>Angkatan 5</v>
          </cell>
        </row>
        <row r="190">
          <cell r="B190" t="str">
            <v>Angga Gunawan</v>
          </cell>
          <cell r="C190" t="str">
            <v>YA</v>
          </cell>
          <cell r="D190" t="str">
            <v>Beasiswa</v>
          </cell>
          <cell r="E190" t="str">
            <v>Angkatan 5</v>
          </cell>
        </row>
        <row r="191">
          <cell r="B191" t="str">
            <v>Muhammad Reza Nur Rizqi</v>
          </cell>
          <cell r="C191" t="str">
            <v>YA</v>
          </cell>
          <cell r="D191" t="str">
            <v>Beasiswa</v>
          </cell>
          <cell r="E191" t="str">
            <v>Angkatan 5</v>
          </cell>
        </row>
        <row r="192">
          <cell r="B192" t="str">
            <v>Sujoni</v>
          </cell>
          <cell r="C192" t="str">
            <v>YA</v>
          </cell>
          <cell r="D192" t="str">
            <v>Beasiswa</v>
          </cell>
          <cell r="E192" t="str">
            <v>Angkatan 5</v>
          </cell>
        </row>
        <row r="193">
          <cell r="B193" t="str">
            <v>Edi Lestio</v>
          </cell>
          <cell r="C193" t="str">
            <v>YA</v>
          </cell>
          <cell r="D193" t="str">
            <v>Beasiswa</v>
          </cell>
          <cell r="E193" t="str">
            <v>Angkatan 5</v>
          </cell>
        </row>
        <row r="194">
          <cell r="B194" t="str">
            <v>Ma'ruf Fathurachman Shaleh</v>
          </cell>
          <cell r="C194" t="str">
            <v>YA</v>
          </cell>
          <cell r="D194" t="str">
            <v>Beasiswa</v>
          </cell>
          <cell r="E194" t="str">
            <v>Angkatan 5</v>
          </cell>
        </row>
        <row r="195">
          <cell r="B195" t="str">
            <v>Edgar Alana Putra</v>
          </cell>
          <cell r="C195" t="str">
            <v>YA</v>
          </cell>
          <cell r="D195" t="str">
            <v>Beasiswa</v>
          </cell>
          <cell r="E195" t="str">
            <v>Angkatan 5</v>
          </cell>
        </row>
        <row r="196">
          <cell r="B196" t="str">
            <v>Prasetiyo Regzi Ade Kurniawan</v>
          </cell>
          <cell r="C196" t="str">
            <v>YA</v>
          </cell>
          <cell r="D196" t="str">
            <v>Beasiswa</v>
          </cell>
          <cell r="E196" t="str">
            <v>Angkatan 5</v>
          </cell>
        </row>
        <row r="197">
          <cell r="B197" t="str">
            <v>Budi Sulistiono</v>
          </cell>
          <cell r="C197" t="str">
            <v>YA</v>
          </cell>
          <cell r="D197" t="str">
            <v>Beasiswa</v>
          </cell>
          <cell r="E197" t="str">
            <v>Angkatan 5</v>
          </cell>
        </row>
        <row r="198">
          <cell r="B198" t="str">
            <v>Ari gunawan</v>
          </cell>
          <cell r="C198" t="str">
            <v>YA</v>
          </cell>
          <cell r="D198" t="str">
            <v>Beasiswa</v>
          </cell>
          <cell r="E198" t="str">
            <v>Angkatan 5</v>
          </cell>
        </row>
        <row r="199">
          <cell r="B199" t="str">
            <v>Jon Rikardo Simamora</v>
          </cell>
          <cell r="C199" t="str">
            <v>YA</v>
          </cell>
          <cell r="D199" t="str">
            <v>Beasiswa</v>
          </cell>
          <cell r="E199" t="str">
            <v>Angkatan 5</v>
          </cell>
        </row>
        <row r="200">
          <cell r="B200" t="str">
            <v>Prasetyo Tatadang Seke Bentelu</v>
          </cell>
          <cell r="C200" t="str">
            <v>YA</v>
          </cell>
          <cell r="D200" t="str">
            <v>Beasiswa</v>
          </cell>
          <cell r="E200" t="str">
            <v>Angkatan 5</v>
          </cell>
        </row>
        <row r="201">
          <cell r="B201" t="str">
            <v>Gagah Hardiansyah</v>
          </cell>
          <cell r="C201" t="str">
            <v>YA</v>
          </cell>
          <cell r="D201" t="str">
            <v>Beasiswa</v>
          </cell>
          <cell r="E201" t="str">
            <v>Angkatan 5</v>
          </cell>
        </row>
        <row r="202">
          <cell r="B202" t="str">
            <v>Rama Dwi Wagendra</v>
          </cell>
          <cell r="C202" t="str">
            <v>YA</v>
          </cell>
          <cell r="D202" t="str">
            <v>Beasiswa</v>
          </cell>
          <cell r="E202" t="str">
            <v>Angkatan 5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2024"/>
      <sheetName val="25-26"/>
      <sheetName val="SMA"/>
      <sheetName val="TABEL SMA"/>
      <sheetName val="BEASISWA"/>
      <sheetName val="TABEL BEASISWA"/>
      <sheetName val="DATA OLAHA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E0B8F-8F55-4DCE-972A-ED0A905B2C34}" name="Table11" displayName="Table11" ref="A1:AF346" totalsRowShown="0" headerRowDxfId="36" dataDxfId="34" headerRowBorderDxfId="35" tableBorderDxfId="33" totalsRowBorderDxfId="32">
  <autoFilter ref="A1:AF346" xr:uid="{F709CBF0-D1F5-4FC5-A90C-981CAF9A6EF2}"/>
  <tableColumns count="32">
    <tableColumn id="1" xr3:uid="{6C3E1C4C-D27A-4A6E-B8E0-FAF425B032E0}" name="No" dataDxfId="31">
      <calculatedColumnFormula>A1+1</calculatedColumnFormula>
    </tableColumn>
    <tableColumn id="2" xr3:uid="{53B3A30B-1529-412A-8FB4-EE10CCB974F9}" name="NIM" dataDxfId="30"/>
    <tableColumn id="3" xr3:uid="{51BA09A7-3D70-4C15-8786-4CE685BC9245}" name="Nama" dataDxfId="29"/>
    <tableColumn id="4" xr3:uid="{67244420-5195-4923-9328-F9C7506E2C28}" name="Email" dataDxfId="28"/>
    <tableColumn id="5" xr3:uid="{83DBD334-A9AC-4FE3-B928-168AD2E056A7}" name="NISN" dataDxfId="27"/>
    <tableColumn id="6" xr3:uid="{2172164D-EC04-4CC0-89BA-C4114874558F}" name="Jenis Kelamin" dataDxfId="26"/>
    <tableColumn id="7" xr3:uid="{21CF548B-FB7C-42AA-A653-95DBBBA289A5}" name="Nomor Telepon" dataDxfId="25"/>
    <tableColumn id="8" xr3:uid="{F75ACABF-BEF6-4008-B737-981BA5840C4A}" name="Tempat Lahir" dataDxfId="24"/>
    <tableColumn id="9" xr3:uid="{6A34340B-872B-462C-B93B-88E5B8C8524E}" name="Tanggal Lahir" dataDxfId="23"/>
    <tableColumn id="10" xr3:uid="{6A8654CC-7EAE-4898-95CB-4D9B68029AAF}" name="Agama" dataDxfId="22"/>
    <tableColumn id="11" xr3:uid="{3695634A-80E3-4B6B-92B7-178AB04A961E}" name="Alamat" dataDxfId="21"/>
    <tableColumn id="12" xr3:uid="{51246007-B316-4048-8924-D7F4FEC44DF3}" name="RT" dataDxfId="20"/>
    <tableColumn id="13" xr3:uid="{49D0B5BA-B13D-45CA-BFA4-E28DD169F8EA}" name="RW" dataDxfId="19"/>
    <tableColumn id="14" xr3:uid="{0A1AD615-4FC9-4719-BE33-6461619B1698}" name="Dusun" dataDxfId="18"/>
    <tableColumn id="15" xr3:uid="{C50DC569-2D6A-42D7-8DC3-A6322C4A15D7}" name="Kelurahan" dataDxfId="17"/>
    <tableColumn id="16" xr3:uid="{17B68B97-62E8-430C-AC40-A8FFCCB21A51}" name="Kecamatan" dataDxfId="16"/>
    <tableColumn id="17" xr3:uid="{06BE14D2-5654-4913-B638-0402613AEDDE}" name="Kode Pos" dataDxfId="15"/>
    <tableColumn id="18" xr3:uid="{3AB32A37-540C-4681-B8E3-AE457B065787}" name="Program Studi" dataDxfId="14"/>
    <tableColumn id="19" xr3:uid="{C5F3339C-A0E3-4B75-8419-905F45765769}" name="MENGETAHUI STIH ADHYAKSA DARI" dataDxfId="13"/>
    <tableColumn id="20" xr3:uid="{F26D12B9-5ACD-4A8C-9195-B463C99A9143}" name="SMA" dataDxfId="12" dataCellStyle="Normal 2">
      <calculatedColumnFormula>VLOOKUP(C2,'[1]TABEL SMA'!$C$8:$D$343,2,0)</calculatedColumnFormula>
    </tableColumn>
    <tableColumn id="21" xr3:uid="{70B131C7-BAF3-4F72-97E4-ECE88FDD3222}" name="BEASISWA" dataDxfId="11">
      <calculatedColumnFormula>IFERROR(VLOOKUP(Table11[[#This Row],[Nama]],'[1]TABEL BEASISWA'!$B$4:$D$202,2,FALSE),"TIDAK")</calculatedColumnFormula>
    </tableColumn>
    <tableColumn id="22" xr3:uid="{21954D77-119C-4981-BE2A-C8010C98C076}" name="JENIS BEASISWA" dataDxfId="10">
      <calculatedColumnFormula>IFERROR(VLOOKUP(Table11[[#This Row],[Nama]],'[1]TABEL BEASISWA'!$B$4:$D$202,3,FALSE),"Tidak ada")</calculatedColumnFormula>
    </tableColumn>
    <tableColumn id="23" xr3:uid="{877FA94C-7C3D-408A-A19C-068B8410339E}" name="ANGKATAN" dataDxfId="9">
      <calculatedColumnFormula>IFERROR(VLOOKUP(Table11[[#This Row],[Nama]],'[1]TABEL BEASISWA'!$B$4:$E$202,4,FALSE)," ")</calculatedColumnFormula>
    </tableColumn>
    <tableColumn id="24" xr3:uid="{E7B9A434-98EB-46E4-99A4-33F96FB815FD}" name="KEWARGANEGARAAN" dataDxfId="8"/>
    <tableColumn id="25" xr3:uid="{349D7AF0-54AD-47C9-A1A4-0BCA779A0046}" name="JENIS PENDAFTARAN" dataDxfId="7"/>
    <tableColumn id="26" xr3:uid="{C1A027B0-A780-4984-B8B2-47377883441A}" name="JALUR PENDAFTARAN" dataDxfId="6"/>
    <tableColumn id="27" xr3:uid="{416A9F59-61D3-4E61-8BD2-2402FD603AEE}" name="TANGGAL MASUK KULIAH" dataDxfId="5"/>
    <tableColumn id="28" xr3:uid="{07C889F8-51DF-44A5-A3A1-458666DF5364}" name="MULAI SEMESTER" dataDxfId="4"/>
    <tableColumn id="29" xr3:uid="{9C71AF4A-7BEE-4F56-A689-03A21B11B40F}" name="Code Religion" dataDxfId="3"/>
    <tableColumn id="30" xr3:uid="{5D18AC6A-C6E3-4A13-8C2B-9CA07623F763}" name="district_code" dataDxfId="2"/>
    <tableColumn id="31" xr3:uid="{C1CB3BC5-C5FC-4DAB-97F7-70EE1D93D3BA}" name="village_code" dataDxfId="1"/>
    <tableColumn id="32" xr3:uid="{1BFB8813-D400-4E27-BBC3-8B7B73BBA2F8}" name="code_sti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elliyanindiya@gmail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cw544474@gmail.com" TargetMode="External"/><Relationship Id="rId7" Type="http://schemas.openxmlformats.org/officeDocument/2006/relationships/hyperlink" Target="mailto:wirabudi29@gmail.com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mailto:annisabunga339@gmail.com" TargetMode="External"/><Relationship Id="rId1" Type="http://schemas.openxmlformats.org/officeDocument/2006/relationships/hyperlink" Target="mailto:simon.simorangkir@stih-adhyaksa.ac.id" TargetMode="External"/><Relationship Id="rId6" Type="http://schemas.openxmlformats.org/officeDocument/2006/relationships/hyperlink" Target="mailto:aryaarafah30@gmail.com" TargetMode="External"/><Relationship Id="rId11" Type="http://schemas.openxmlformats.org/officeDocument/2006/relationships/hyperlink" Target="mailto:achmadsyaifudin1995@gmail.com" TargetMode="External"/><Relationship Id="rId5" Type="http://schemas.openxmlformats.org/officeDocument/2006/relationships/hyperlink" Target="mailto:mirandaeryna54@gmail.com" TargetMode="External"/><Relationship Id="rId10" Type="http://schemas.openxmlformats.org/officeDocument/2006/relationships/hyperlink" Target="mailto:aribowoagung13@gmail.com" TargetMode="External"/><Relationship Id="rId4" Type="http://schemas.openxmlformats.org/officeDocument/2006/relationships/hyperlink" Target="mailto:fathinaf.ig@gmail.om" TargetMode="External"/><Relationship Id="rId9" Type="http://schemas.openxmlformats.org/officeDocument/2006/relationships/hyperlink" Target="mailto:ariesfachruddin55@gmail.com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40E3-66CE-4472-9F58-01F7AC177B2F}">
  <dimension ref="A1:AGN987"/>
  <sheetViews>
    <sheetView tabSelected="1" topLeftCell="G298" zoomScale="74" zoomScaleNormal="70" workbookViewId="0">
      <selection activeCell="K294" sqref="K294"/>
    </sheetView>
  </sheetViews>
  <sheetFormatPr defaultColWidth="10.07421875" defaultRowHeight="15.5"/>
  <cols>
    <col min="1" max="1" width="8.921875" bestFit="1" customWidth="1"/>
    <col min="2" max="2" width="10.53515625" bestFit="1" customWidth="1"/>
    <col min="3" max="3" width="32" bestFit="1" customWidth="1"/>
    <col min="4" max="4" width="35.84375" bestFit="1" customWidth="1"/>
    <col min="5" max="5" width="20.53515625" bestFit="1" customWidth="1"/>
    <col min="6" max="6" width="15.3828125" bestFit="1" customWidth="1"/>
    <col min="7" max="7" width="24.15234375" bestFit="1" customWidth="1"/>
    <col min="8" max="8" width="23.921875" bestFit="1" customWidth="1"/>
    <col min="9" max="9" width="18.61328125" bestFit="1" customWidth="1"/>
    <col min="10" max="10" width="12.4609375" bestFit="1" customWidth="1"/>
    <col min="11" max="11" width="65.3828125" style="128" bestFit="1" customWidth="1"/>
    <col min="12" max="12" width="8.921875" bestFit="1" customWidth="1"/>
    <col min="13" max="13" width="9.3828125" bestFit="1" customWidth="1"/>
    <col min="14" max="15" width="20.921875" bestFit="1" customWidth="1"/>
    <col min="16" max="16" width="17.15234375" bestFit="1" customWidth="1"/>
    <col min="17" max="17" width="14.921875" bestFit="1" customWidth="1"/>
    <col min="18" max="18" width="19" bestFit="1" customWidth="1"/>
    <col min="19" max="19" width="23.07421875" bestFit="1" customWidth="1"/>
    <col min="20" max="20" width="18.61328125" bestFit="1" customWidth="1"/>
    <col min="21" max="21" width="16" bestFit="1" customWidth="1"/>
    <col min="22" max="22" width="21.921875" bestFit="1" customWidth="1"/>
    <col min="23" max="23" width="16.61328125" bestFit="1" customWidth="1"/>
    <col min="24" max="24" width="26.3828125" bestFit="1" customWidth="1"/>
    <col min="25" max="25" width="18.921875" bestFit="1" customWidth="1"/>
    <col min="26" max="26" width="20.07421875" bestFit="1" customWidth="1"/>
    <col min="27" max="27" width="15.3828125" bestFit="1" customWidth="1"/>
    <col min="28" max="28" width="16.07421875" bestFit="1" customWidth="1"/>
    <col min="29" max="29" width="12.921875" bestFit="1" customWidth="1"/>
    <col min="30" max="30" width="14.3828125" bestFit="1" customWidth="1"/>
    <col min="31" max="31" width="14.53515625" bestFit="1" customWidth="1"/>
    <col min="32" max="32" width="20.4609375" customWidth="1"/>
  </cols>
  <sheetData>
    <row r="1" spans="1:32" ht="28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6" t="s">
        <v>19</v>
      </c>
      <c r="U1" s="6" t="s">
        <v>20</v>
      </c>
      <c r="V1" s="6" t="s">
        <v>21</v>
      </c>
      <c r="W1" s="9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2352</v>
      </c>
      <c r="AD1" s="6" t="s">
        <v>2353</v>
      </c>
      <c r="AE1" s="6" t="s">
        <v>2351</v>
      </c>
      <c r="AF1" s="6" t="s">
        <v>2354</v>
      </c>
    </row>
    <row r="2" spans="1:32" ht="42">
      <c r="A2" s="10">
        <v>1</v>
      </c>
      <c r="B2" s="11" t="s">
        <v>28</v>
      </c>
      <c r="C2" s="12" t="s">
        <v>29</v>
      </c>
      <c r="D2" s="12" t="s">
        <v>30</v>
      </c>
      <c r="E2" s="13" t="s">
        <v>31</v>
      </c>
      <c r="F2" s="14" t="s">
        <v>32</v>
      </c>
      <c r="G2" s="15" t="s">
        <v>33</v>
      </c>
      <c r="H2" s="12" t="s">
        <v>34</v>
      </c>
      <c r="I2" s="132">
        <v>37827</v>
      </c>
      <c r="J2" s="16" t="s">
        <v>35</v>
      </c>
      <c r="K2" s="17" t="s">
        <v>36</v>
      </c>
      <c r="L2" s="11" t="s">
        <v>37</v>
      </c>
      <c r="M2" s="11" t="s">
        <v>38</v>
      </c>
      <c r="N2" s="18" t="s">
        <v>36</v>
      </c>
      <c r="O2" s="19" t="s">
        <v>39</v>
      </c>
      <c r="P2" s="20" t="s">
        <v>40</v>
      </c>
      <c r="Q2" s="19">
        <v>13820</v>
      </c>
      <c r="R2" s="18" t="s">
        <v>41</v>
      </c>
      <c r="S2" s="18" t="s">
        <v>42</v>
      </c>
      <c r="T2" s="21" t="str">
        <f>(VLOOKUP(C2,'[1]TABEL SMA'!$C$8:$D$343,2,0))</f>
        <v>QUR'ANIC SCHOOL OF DEWAN DA'WAH JAKARTA TIMUR</v>
      </c>
      <c r="U2" s="22" t="str">
        <f>IFERROR(VLOOKUP(Table11[[#This Row],[Nama]],'[1]TABEL BEASISWA'!$B$4:$D$202,2,FALSE),"TIDAK")</f>
        <v>TIDAK</v>
      </c>
      <c r="V2" s="23" t="str">
        <f>IFERROR(VLOOKUP(Table11[[#This Row],[Nama]],'[1]TABEL BEASISWA'!$B$4:$D$202,3,FALSE),"Tidak ada")</f>
        <v>Tidak ada</v>
      </c>
      <c r="W2" s="24" t="str">
        <f>IFERROR(VLOOKUP(Table11[[#This Row],[Nama]],'[1]TABEL BEASISWA'!$B$4:$E$202,4,FALSE)," ")</f>
        <v xml:space="preserve"> </v>
      </c>
      <c r="X2" s="25"/>
      <c r="Y2" s="25"/>
      <c r="Z2" s="26"/>
      <c r="AA2" s="25"/>
      <c r="AB2" s="25"/>
      <c r="AC2" s="129">
        <v>1001001</v>
      </c>
      <c r="AD2" s="129">
        <v>327607</v>
      </c>
      <c r="AE2" s="129">
        <v>3175101008</v>
      </c>
      <c r="AF2" s="129" t="s">
        <v>2345</v>
      </c>
    </row>
    <row r="3" spans="1:32" ht="28">
      <c r="A3" s="10">
        <f t="shared" ref="A3:A66" si="0">A2+1</f>
        <v>2</v>
      </c>
      <c r="B3" s="11" t="s">
        <v>43</v>
      </c>
      <c r="C3" s="12" t="s">
        <v>44</v>
      </c>
      <c r="D3" s="12" t="s">
        <v>45</v>
      </c>
      <c r="E3" s="11" t="s">
        <v>46</v>
      </c>
      <c r="F3" s="19" t="s">
        <v>32</v>
      </c>
      <c r="G3" s="27" t="s">
        <v>47</v>
      </c>
      <c r="H3" s="12" t="s">
        <v>34</v>
      </c>
      <c r="I3" s="132">
        <v>38025</v>
      </c>
      <c r="J3" s="16" t="s">
        <v>35</v>
      </c>
      <c r="K3" s="17" t="s">
        <v>48</v>
      </c>
      <c r="L3" s="11" t="s">
        <v>49</v>
      </c>
      <c r="M3" s="11" t="s">
        <v>50</v>
      </c>
      <c r="N3" s="28"/>
      <c r="O3" s="19" t="s">
        <v>51</v>
      </c>
      <c r="P3" s="19"/>
      <c r="Q3" s="19">
        <v>13890</v>
      </c>
      <c r="R3" s="18" t="s">
        <v>41</v>
      </c>
      <c r="S3" s="18" t="s">
        <v>52</v>
      </c>
      <c r="T3" s="21" t="str">
        <f>VLOOKUP(C3,'[1]TABEL SMA'!$C$8:$D$343,2,0)</f>
        <v>SMK NEGERI 51 JAKARTA</v>
      </c>
      <c r="U3" s="22" t="str">
        <f>IFERROR(VLOOKUP(Table11[[#This Row],[Nama]],'[1]TABEL BEASISWA'!$B$4:$D$202,2,FALSE),"TIDAK")</f>
        <v>TIDAK</v>
      </c>
      <c r="V3" s="23" t="str">
        <f>IFERROR(VLOOKUP(Table11[[#This Row],[Nama]],'[1]TABEL BEASISWA'!$B$4:$D$202,3,FALSE),"Tidak ada")</f>
        <v>Tidak ada</v>
      </c>
      <c r="W3" s="24" t="str">
        <f>IFERROR(VLOOKUP(Table11[[#This Row],[Nama]],'[1]TABEL BEASISWA'!$B$4:$E$202,4,FALSE)," ")</f>
        <v xml:space="preserve"> </v>
      </c>
      <c r="X3" s="25"/>
      <c r="Y3" s="25"/>
      <c r="Z3" s="26"/>
      <c r="AA3" s="25"/>
      <c r="AB3" s="25"/>
      <c r="AC3" s="130">
        <v>1001001</v>
      </c>
      <c r="AD3" s="130"/>
      <c r="AE3" s="130">
        <v>3175101006</v>
      </c>
      <c r="AF3" s="130" t="s">
        <v>2346</v>
      </c>
    </row>
    <row r="4" spans="1:32" ht="28">
      <c r="A4" s="10">
        <f t="shared" si="0"/>
        <v>3</v>
      </c>
      <c r="B4" s="11" t="s">
        <v>53</v>
      </c>
      <c r="C4" s="12" t="s">
        <v>54</v>
      </c>
      <c r="D4" s="29" t="s">
        <v>55</v>
      </c>
      <c r="E4" s="11" t="s">
        <v>56</v>
      </c>
      <c r="F4" s="19" t="s">
        <v>32</v>
      </c>
      <c r="G4" s="27" t="s">
        <v>57</v>
      </c>
      <c r="H4" s="12" t="s">
        <v>58</v>
      </c>
      <c r="I4" s="132">
        <v>37900</v>
      </c>
      <c r="J4" s="16" t="s">
        <v>35</v>
      </c>
      <c r="K4" s="17" t="s">
        <v>59</v>
      </c>
      <c r="L4" s="11" t="s">
        <v>60</v>
      </c>
      <c r="M4" s="11" t="s">
        <v>61</v>
      </c>
      <c r="N4" s="28"/>
      <c r="O4" s="19" t="s">
        <v>62</v>
      </c>
      <c r="P4" s="19"/>
      <c r="Q4" s="19">
        <v>16413</v>
      </c>
      <c r="R4" s="18" t="s">
        <v>41</v>
      </c>
      <c r="S4" s="18" t="s">
        <v>52</v>
      </c>
      <c r="T4" s="21" t="str">
        <f>VLOOKUP(C4,'[1]TABEL SMA'!$C$8:$D$343,2,0)</f>
        <v>SMA NEGERI 2 DEPOK</v>
      </c>
      <c r="U4" s="22" t="str">
        <f>IFERROR(VLOOKUP(Table11[[#This Row],[Nama]],'[1]TABEL BEASISWA'!$B$4:$D$202,2,FALSE),"TIDAK")</f>
        <v>TIDAK</v>
      </c>
      <c r="V4" s="23" t="str">
        <f>IFERROR(VLOOKUP(Table11[[#This Row],[Nama]],'[1]TABEL BEASISWA'!$B$4:$D$202,3,FALSE),"Tidak ada")</f>
        <v>Tidak ada</v>
      </c>
      <c r="W4" s="24" t="str">
        <f>IFERROR(VLOOKUP(Table11[[#This Row],[Nama]],'[1]TABEL BEASISWA'!$B$4:$E$202,4,FALSE)," ")</f>
        <v xml:space="preserve"> </v>
      </c>
      <c r="X4" s="25"/>
      <c r="Y4" s="25"/>
      <c r="Z4" s="26"/>
      <c r="AA4" s="25"/>
      <c r="AB4" s="25"/>
      <c r="AC4" s="130">
        <v>1001001</v>
      </c>
      <c r="AD4" s="130"/>
      <c r="AE4" s="130">
        <v>3603302003</v>
      </c>
      <c r="AF4" s="130" t="s">
        <v>2346</v>
      </c>
    </row>
    <row r="5" spans="1:32" ht="28">
      <c r="A5" s="10">
        <f t="shared" si="0"/>
        <v>4</v>
      </c>
      <c r="B5" s="11" t="s">
        <v>63</v>
      </c>
      <c r="C5" s="12" t="s">
        <v>64</v>
      </c>
      <c r="D5" s="29" t="s">
        <v>65</v>
      </c>
      <c r="E5" s="13" t="s">
        <v>66</v>
      </c>
      <c r="F5" s="14" t="s">
        <v>67</v>
      </c>
      <c r="G5" s="30">
        <v>85708187559</v>
      </c>
      <c r="H5" s="12" t="s">
        <v>68</v>
      </c>
      <c r="I5" s="132">
        <v>37706</v>
      </c>
      <c r="J5" s="16" t="s">
        <v>35</v>
      </c>
      <c r="K5" s="17" t="s">
        <v>69</v>
      </c>
      <c r="L5" s="11" t="s">
        <v>70</v>
      </c>
      <c r="M5" s="19">
        <v>10</v>
      </c>
      <c r="N5" s="18" t="s">
        <v>69</v>
      </c>
      <c r="O5" s="19" t="s">
        <v>71</v>
      </c>
      <c r="P5" s="19" t="s">
        <v>72</v>
      </c>
      <c r="Q5" s="19">
        <v>58311</v>
      </c>
      <c r="R5" s="18" t="s">
        <v>41</v>
      </c>
      <c r="S5" s="18" t="s">
        <v>52</v>
      </c>
      <c r="T5" s="21" t="str">
        <f>VLOOKUP(C5,'[1]TABEL SMA'!$C$8:$D$343,2,0)</f>
        <v>SMA NEGERI 1 CEPU JAWA TENGAH</v>
      </c>
      <c r="U5" s="22" t="str">
        <f>IFERROR(VLOOKUP(Table11[[#This Row],[Nama]],'[1]TABEL BEASISWA'!$B$4:$D$202,2,FALSE),"TIDAK")</f>
        <v>TIDAK</v>
      </c>
      <c r="V5" s="23" t="str">
        <f>IFERROR(VLOOKUP(Table11[[#This Row],[Nama]],'[1]TABEL BEASISWA'!$B$4:$D$202,3,FALSE),"Tidak ada")</f>
        <v>Tidak ada</v>
      </c>
      <c r="W5" s="24" t="str">
        <f>IFERROR(VLOOKUP(Table11[[#This Row],[Nama]],'[1]TABEL BEASISWA'!$B$4:$E$202,4,FALSE)," ")</f>
        <v xml:space="preserve"> </v>
      </c>
      <c r="X5" s="25"/>
      <c r="Y5" s="25"/>
      <c r="Z5" s="26"/>
      <c r="AA5" s="25"/>
      <c r="AB5" s="25"/>
      <c r="AC5" s="130">
        <v>1001001</v>
      </c>
      <c r="AD5" s="130">
        <v>331605</v>
      </c>
      <c r="AE5" s="130">
        <v>3316051013</v>
      </c>
      <c r="AF5" s="130" t="s">
        <v>2346</v>
      </c>
    </row>
    <row r="6" spans="1:32">
      <c r="A6" s="10">
        <f t="shared" si="0"/>
        <v>5</v>
      </c>
      <c r="B6" s="11" t="s">
        <v>73</v>
      </c>
      <c r="C6" s="12" t="s">
        <v>74</v>
      </c>
      <c r="D6" s="29" t="s">
        <v>75</v>
      </c>
      <c r="E6" s="13" t="s">
        <v>76</v>
      </c>
      <c r="F6" s="14" t="s">
        <v>32</v>
      </c>
      <c r="G6" s="30">
        <v>81398435552</v>
      </c>
      <c r="H6" s="12" t="s">
        <v>77</v>
      </c>
      <c r="I6" s="132">
        <v>38237</v>
      </c>
      <c r="J6" s="16" t="s">
        <v>35</v>
      </c>
      <c r="K6" s="17" t="s">
        <v>78</v>
      </c>
      <c r="L6" s="11" t="s">
        <v>79</v>
      </c>
      <c r="M6" s="11" t="s">
        <v>37</v>
      </c>
      <c r="N6" s="18" t="s">
        <v>80</v>
      </c>
      <c r="O6" s="19" t="s">
        <v>81</v>
      </c>
      <c r="P6" s="19" t="s">
        <v>82</v>
      </c>
      <c r="Q6" s="19">
        <v>16152</v>
      </c>
      <c r="R6" s="18" t="s">
        <v>41</v>
      </c>
      <c r="S6" s="18" t="s">
        <v>52</v>
      </c>
      <c r="T6" s="21" t="str">
        <f>VLOOKUP(C6,'[1]TABEL SMA'!$C$8:$D$343,2,0)</f>
        <v xml:space="preserve">MAN 1 KOTA BOGOR </v>
      </c>
      <c r="U6" s="22" t="str">
        <f>IFERROR(VLOOKUP(Table11[[#This Row],[Nama]],'[1]TABEL BEASISWA'!$B$4:$D$202,2,FALSE),"TIDAK")</f>
        <v>YA</v>
      </c>
      <c r="V6" s="23" t="str">
        <f>IFERROR(VLOOKUP(Table11[[#This Row],[Nama]],'[1]TABEL BEASISWA'!$B$4:$D$202,3,FALSE),"Tidak ada")</f>
        <v>Beasiswa 100% Berprestasi</v>
      </c>
      <c r="W6" s="24" t="str">
        <f>IFERROR(VLOOKUP(Table11[[#This Row],[Nama]],'[1]TABEL BEASISWA'!$B$4:$E$202,4,FALSE)," ")</f>
        <v>Angkatan 1</v>
      </c>
      <c r="X6" s="25"/>
      <c r="Y6" s="25"/>
      <c r="Z6" s="26"/>
      <c r="AA6" s="25"/>
      <c r="AB6" s="25"/>
      <c r="AC6" s="130">
        <v>1001001</v>
      </c>
      <c r="AD6" s="130">
        <v>327105</v>
      </c>
      <c r="AE6" s="130">
        <v>3271051002</v>
      </c>
      <c r="AF6" s="130" t="s">
        <v>2346</v>
      </c>
    </row>
    <row r="7" spans="1:32" ht="28">
      <c r="A7" s="10">
        <f t="shared" si="0"/>
        <v>6</v>
      </c>
      <c r="B7" s="11" t="s">
        <v>83</v>
      </c>
      <c r="C7" s="12" t="s">
        <v>84</v>
      </c>
      <c r="D7" s="29" t="s">
        <v>85</v>
      </c>
      <c r="E7" s="13" t="s">
        <v>86</v>
      </c>
      <c r="F7" s="14" t="s">
        <v>32</v>
      </c>
      <c r="G7" s="30">
        <v>81931068718</v>
      </c>
      <c r="H7" s="12" t="s">
        <v>87</v>
      </c>
      <c r="I7" s="132">
        <v>37943</v>
      </c>
      <c r="J7" s="16" t="s">
        <v>35</v>
      </c>
      <c r="K7" s="17" t="s">
        <v>88</v>
      </c>
      <c r="L7" s="11" t="s">
        <v>89</v>
      </c>
      <c r="M7" s="19">
        <v>87</v>
      </c>
      <c r="N7" s="18" t="s">
        <v>88</v>
      </c>
      <c r="O7" s="19" t="s">
        <v>90</v>
      </c>
      <c r="P7" s="19" t="s">
        <v>91</v>
      </c>
      <c r="Q7" s="19">
        <v>83126</v>
      </c>
      <c r="R7" s="18" t="s">
        <v>41</v>
      </c>
      <c r="S7" s="18" t="s">
        <v>52</v>
      </c>
      <c r="T7" s="21" t="str">
        <f>VLOOKUP(C7,'[1]TABEL SMA'!$C$8:$D$343,2,0)</f>
        <v>SMA NEGERI 5 MATARAM NTB</v>
      </c>
      <c r="U7" s="22" t="str">
        <f>IFERROR(VLOOKUP(Table11[[#This Row],[Nama]],'[1]TABEL BEASISWA'!$B$4:$D$202,2,FALSE),"TIDAK")</f>
        <v>TIDAK</v>
      </c>
      <c r="V7" s="23" t="str">
        <f>IFERROR(VLOOKUP(Table11[[#This Row],[Nama]],'[1]TABEL BEASISWA'!$B$4:$D$202,3,FALSE),"Tidak ada")</f>
        <v>Tidak ada</v>
      </c>
      <c r="W7" s="24" t="str">
        <f>IFERROR(VLOOKUP(Table11[[#This Row],[Nama]],'[1]TABEL BEASISWA'!$B$4:$E$202,4,FALSE)," ")</f>
        <v xml:space="preserve"> </v>
      </c>
      <c r="X7" s="25"/>
      <c r="Y7" s="25"/>
      <c r="Z7" s="26"/>
      <c r="AA7" s="25"/>
      <c r="AB7" s="25"/>
      <c r="AC7" s="130">
        <v>1001001</v>
      </c>
      <c r="AD7" s="130">
        <v>527102</v>
      </c>
      <c r="AE7" s="130">
        <v>5271021012</v>
      </c>
      <c r="AF7" s="130" t="s">
        <v>2346</v>
      </c>
    </row>
    <row r="8" spans="1:32" ht="42">
      <c r="A8" s="10">
        <f t="shared" si="0"/>
        <v>7</v>
      </c>
      <c r="B8" s="11" t="s">
        <v>92</v>
      </c>
      <c r="C8" s="12" t="s">
        <v>93</v>
      </c>
      <c r="D8" s="29" t="s">
        <v>94</v>
      </c>
      <c r="E8" s="13" t="s">
        <v>95</v>
      </c>
      <c r="F8" s="14" t="s">
        <v>32</v>
      </c>
      <c r="G8" s="30">
        <v>81262269492</v>
      </c>
      <c r="H8" s="12" t="s">
        <v>96</v>
      </c>
      <c r="I8" s="132">
        <v>37212</v>
      </c>
      <c r="J8" s="16" t="s">
        <v>97</v>
      </c>
      <c r="K8" s="17" t="s">
        <v>98</v>
      </c>
      <c r="L8" s="31"/>
      <c r="M8" s="31"/>
      <c r="N8" s="18" t="s">
        <v>98</v>
      </c>
      <c r="O8" s="19" t="s">
        <v>99</v>
      </c>
      <c r="P8" s="19" t="s">
        <v>100</v>
      </c>
      <c r="Q8" s="19">
        <v>20141</v>
      </c>
      <c r="R8" s="18" t="s">
        <v>41</v>
      </c>
      <c r="S8" s="18" t="s">
        <v>52</v>
      </c>
      <c r="T8" s="21" t="str">
        <f>VLOOKUP(C8,'[1]TABEL SMA'!$C$8:$D$343,2,0)</f>
        <v>SMA NEGERI 4 MEDAN SUMATERA UTARA</v>
      </c>
      <c r="U8" s="22" t="str">
        <f>IFERROR(VLOOKUP(Table11[[#This Row],[Nama]],'[1]TABEL BEASISWA'!$B$4:$D$202,2,FALSE),"TIDAK")</f>
        <v>YA</v>
      </c>
      <c r="V8" s="23" t="str">
        <f>IFERROR(VLOOKUP(Table11[[#This Row],[Nama]],'[1]TABEL BEASISWA'!$B$4:$D$202,3,FALSE),"Tidak ada")</f>
        <v>Beasiswa 50% Putra Putri Jaksa</v>
      </c>
      <c r="W8" s="24" t="str">
        <f>IFERROR(VLOOKUP(Table11[[#This Row],[Nama]],'[1]TABEL BEASISWA'!$B$4:$E$202,4,FALSE)," ")</f>
        <v>Angkatan 1</v>
      </c>
      <c r="X8" s="25"/>
      <c r="Y8" s="25"/>
      <c r="Z8" s="26"/>
      <c r="AA8" s="25"/>
      <c r="AB8" s="25"/>
      <c r="AC8" s="130">
        <v>1001002</v>
      </c>
      <c r="AD8" s="130">
        <v>127107</v>
      </c>
      <c r="AE8" s="130">
        <v>1271071009</v>
      </c>
      <c r="AF8" s="130" t="s">
        <v>2346</v>
      </c>
    </row>
    <row r="9" spans="1:32" ht="28">
      <c r="A9" s="10">
        <f t="shared" si="0"/>
        <v>8</v>
      </c>
      <c r="B9" s="11" t="s">
        <v>101</v>
      </c>
      <c r="C9" s="12" t="s">
        <v>102</v>
      </c>
      <c r="D9" s="29" t="s">
        <v>103</v>
      </c>
      <c r="E9" s="18">
        <v>4451</v>
      </c>
      <c r="F9" s="14" t="s">
        <v>32</v>
      </c>
      <c r="G9" s="30">
        <v>81280256929</v>
      </c>
      <c r="H9" s="12" t="s">
        <v>104</v>
      </c>
      <c r="I9" s="132">
        <v>30817</v>
      </c>
      <c r="J9" s="16" t="s">
        <v>35</v>
      </c>
      <c r="K9" s="17" t="s">
        <v>105</v>
      </c>
      <c r="L9" s="11" t="s">
        <v>106</v>
      </c>
      <c r="M9" s="11" t="s">
        <v>107</v>
      </c>
      <c r="N9" s="18" t="s">
        <v>105</v>
      </c>
      <c r="O9" s="19" t="s">
        <v>108</v>
      </c>
      <c r="P9" s="19" t="s">
        <v>109</v>
      </c>
      <c r="Q9" s="19">
        <v>17411</v>
      </c>
      <c r="R9" s="18" t="s">
        <v>41</v>
      </c>
      <c r="S9" s="18" t="s">
        <v>52</v>
      </c>
      <c r="T9" s="21" t="str">
        <f>VLOOKUP(C9,'[1]TABEL SMA'!$C$8:$D$343,2,0)</f>
        <v>SMU GIKI 1 SURABAYA</v>
      </c>
      <c r="U9" s="22" t="str">
        <f>IFERROR(VLOOKUP(Table11[[#This Row],[Nama]],'[1]TABEL BEASISWA'!$B$4:$D$202,2,FALSE),"TIDAK")</f>
        <v>TIDAK</v>
      </c>
      <c r="V9" s="23" t="str">
        <f>IFERROR(VLOOKUP(Table11[[#This Row],[Nama]],'[1]TABEL BEASISWA'!$B$4:$D$202,3,FALSE),"Tidak ada")</f>
        <v>Tidak ada</v>
      </c>
      <c r="W9" s="24" t="str">
        <f>IFERROR(VLOOKUP(Table11[[#This Row],[Nama]],'[1]TABEL BEASISWA'!$B$4:$E$202,4,FALSE)," ")</f>
        <v xml:space="preserve"> </v>
      </c>
      <c r="X9" s="25"/>
      <c r="Y9" s="25"/>
      <c r="Z9" s="26"/>
      <c r="AA9" s="25"/>
      <c r="AB9" s="25"/>
      <c r="AC9" s="130">
        <v>1001001</v>
      </c>
      <c r="AD9" s="130"/>
      <c r="AE9" s="130">
        <v>6202162011</v>
      </c>
      <c r="AF9" s="130" t="s">
        <v>2346</v>
      </c>
    </row>
    <row r="10" spans="1:32" ht="42">
      <c r="A10" s="10">
        <f t="shared" si="0"/>
        <v>9</v>
      </c>
      <c r="B10" s="11" t="s">
        <v>110</v>
      </c>
      <c r="C10" s="12" t="s">
        <v>111</v>
      </c>
      <c r="D10" s="29" t="s">
        <v>112</v>
      </c>
      <c r="E10" s="13" t="s">
        <v>113</v>
      </c>
      <c r="F10" s="14" t="s">
        <v>32</v>
      </c>
      <c r="G10" s="30">
        <v>89643281936</v>
      </c>
      <c r="H10" s="12" t="s">
        <v>114</v>
      </c>
      <c r="I10" s="132">
        <v>38346</v>
      </c>
      <c r="J10" s="16" t="s">
        <v>35</v>
      </c>
      <c r="K10" s="17" t="s">
        <v>115</v>
      </c>
      <c r="L10" s="19">
        <v>38</v>
      </c>
      <c r="M10" s="19">
        <v>10</v>
      </c>
      <c r="N10" s="18" t="s">
        <v>115</v>
      </c>
      <c r="O10" s="19" t="s">
        <v>116</v>
      </c>
      <c r="P10" s="19" t="s">
        <v>117</v>
      </c>
      <c r="Q10" s="19">
        <v>41252</v>
      </c>
      <c r="R10" s="18" t="s">
        <v>41</v>
      </c>
      <c r="S10" s="18" t="s">
        <v>52</v>
      </c>
      <c r="T10" s="21" t="str">
        <f>VLOOKUP(C10,'[1]TABEL SMA'!$C$8:$D$343,2,0)</f>
        <v>SMA NEGERI 1 PAGADEN JAWA BARAT</v>
      </c>
      <c r="U10" s="22" t="str">
        <f>IFERROR(VLOOKUP(Table11[[#This Row],[Nama]],'[1]TABEL BEASISWA'!$B$4:$D$202,2,FALSE),"TIDAK")</f>
        <v>TIDAK</v>
      </c>
      <c r="V10" s="23" t="str">
        <f>IFERROR(VLOOKUP(Table11[[#This Row],[Nama]],'[1]TABEL BEASISWA'!$B$4:$D$202,3,FALSE),"Tidak ada")</f>
        <v>Tidak ada</v>
      </c>
      <c r="W10" s="24" t="str">
        <f>IFERROR(VLOOKUP(Table11[[#This Row],[Nama]],'[1]TABEL BEASISWA'!$B$4:$E$202,4,FALSE)," ")</f>
        <v xml:space="preserve"> </v>
      </c>
      <c r="X10" s="25"/>
      <c r="Y10" s="25"/>
      <c r="Z10" s="26"/>
      <c r="AA10" s="25"/>
      <c r="AB10" s="25"/>
      <c r="AC10" s="130">
        <v>1001001</v>
      </c>
      <c r="AD10" s="130">
        <v>321307</v>
      </c>
      <c r="AE10" s="130">
        <v>3213072006</v>
      </c>
      <c r="AF10" s="130" t="s">
        <v>2346</v>
      </c>
    </row>
    <row r="11" spans="1:32" ht="28">
      <c r="A11" s="10">
        <f t="shared" si="0"/>
        <v>10</v>
      </c>
      <c r="B11" s="11" t="s">
        <v>118</v>
      </c>
      <c r="C11" s="12" t="s">
        <v>119</v>
      </c>
      <c r="D11" s="29" t="s">
        <v>120</v>
      </c>
      <c r="E11" s="13" t="s">
        <v>121</v>
      </c>
      <c r="F11" s="14" t="s">
        <v>32</v>
      </c>
      <c r="G11" s="30">
        <v>81386725511</v>
      </c>
      <c r="H11" s="12" t="s">
        <v>34</v>
      </c>
      <c r="I11" s="132">
        <v>37115</v>
      </c>
      <c r="J11" s="16" t="s">
        <v>35</v>
      </c>
      <c r="K11" s="17" t="s">
        <v>122</v>
      </c>
      <c r="L11" s="11" t="s">
        <v>123</v>
      </c>
      <c r="M11" s="11" t="s">
        <v>124</v>
      </c>
      <c r="N11" s="18" t="s">
        <v>122</v>
      </c>
      <c r="O11" s="19" t="s">
        <v>125</v>
      </c>
      <c r="P11" s="19" t="s">
        <v>126</v>
      </c>
      <c r="Q11" s="19">
        <v>12440</v>
      </c>
      <c r="R11" s="18" t="s">
        <v>41</v>
      </c>
      <c r="S11" s="18" t="s">
        <v>52</v>
      </c>
      <c r="T11" s="21" t="str">
        <f>VLOOKUP(C11,'[1]TABEL SMA'!$C$8:$D$343,2,0)</f>
        <v>PKBM SUKSES JAKARTA SELATAN</v>
      </c>
      <c r="U11" s="22" t="str">
        <f>IFERROR(VLOOKUP(Table11[[#This Row],[Nama]],'[1]TABEL BEASISWA'!$B$4:$D$202,2,FALSE),"TIDAK")</f>
        <v>TIDAK</v>
      </c>
      <c r="V11" s="23" t="str">
        <f>IFERROR(VLOOKUP(Table11[[#This Row],[Nama]],'[1]TABEL BEASISWA'!$B$4:$D$202,3,FALSE),"Tidak ada")</f>
        <v>Tidak ada</v>
      </c>
      <c r="W11" s="24" t="str">
        <f>IFERROR(VLOOKUP(Table11[[#This Row],[Nama]],'[1]TABEL BEASISWA'!$B$4:$E$202,4,FALSE)," ")</f>
        <v xml:space="preserve"> </v>
      </c>
      <c r="X11" s="25"/>
      <c r="Y11" s="25"/>
      <c r="Z11" s="26"/>
      <c r="AA11" s="25"/>
      <c r="AB11" s="25"/>
      <c r="AC11" s="130">
        <v>1001001</v>
      </c>
      <c r="AD11" s="130">
        <v>317406</v>
      </c>
      <c r="AE11" s="130">
        <v>3174061002</v>
      </c>
      <c r="AF11" s="130" t="s">
        <v>2346</v>
      </c>
    </row>
    <row r="12" spans="1:32" ht="42">
      <c r="A12" s="10">
        <f t="shared" si="0"/>
        <v>11</v>
      </c>
      <c r="B12" s="11" t="s">
        <v>127</v>
      </c>
      <c r="C12" s="12" t="s">
        <v>128</v>
      </c>
      <c r="D12" s="29" t="s">
        <v>129</v>
      </c>
      <c r="E12" s="13" t="s">
        <v>130</v>
      </c>
      <c r="F12" s="18" t="s">
        <v>32</v>
      </c>
      <c r="G12" s="27" t="s">
        <v>131</v>
      </c>
      <c r="H12" s="12" t="s">
        <v>132</v>
      </c>
      <c r="I12" s="132">
        <v>36759</v>
      </c>
      <c r="J12" s="16" t="s">
        <v>35</v>
      </c>
      <c r="K12" s="17" t="s">
        <v>133</v>
      </c>
      <c r="L12" s="11" t="s">
        <v>60</v>
      </c>
      <c r="M12" s="11" t="s">
        <v>50</v>
      </c>
      <c r="N12" s="28"/>
      <c r="O12" s="19" t="s">
        <v>134</v>
      </c>
      <c r="P12" s="19" t="s">
        <v>135</v>
      </c>
      <c r="Q12" s="19">
        <v>15445</v>
      </c>
      <c r="R12" s="18" t="s">
        <v>41</v>
      </c>
      <c r="S12" s="18" t="s">
        <v>52</v>
      </c>
      <c r="T12" s="21" t="str">
        <f>VLOOKUP(C12,'[1]TABEL SMA'!$C$8:$D$343,2,0)</f>
        <v>PKBM KI HAJAR DEWANTARA BANTEN</v>
      </c>
      <c r="U12" s="22" t="str">
        <f>IFERROR(VLOOKUP(Table11[[#This Row],[Nama]],'[1]TABEL BEASISWA'!$B$4:$D$202,2,FALSE),"TIDAK")</f>
        <v>TIDAK</v>
      </c>
      <c r="V12" s="23" t="str">
        <f>IFERROR(VLOOKUP(Table11[[#This Row],[Nama]],'[1]TABEL BEASISWA'!$B$4:$D$202,3,FALSE),"Tidak ada")</f>
        <v>Tidak ada</v>
      </c>
      <c r="W12" s="24" t="str">
        <f>IFERROR(VLOOKUP(Table11[[#This Row],[Nama]],'[1]TABEL BEASISWA'!$B$4:$E$202,4,FALSE)," ")</f>
        <v xml:space="preserve"> </v>
      </c>
      <c r="X12" s="25"/>
      <c r="Y12" s="25"/>
      <c r="Z12" s="26"/>
      <c r="AA12" s="25"/>
      <c r="AB12" s="25"/>
      <c r="AC12" s="130">
        <v>1001001</v>
      </c>
      <c r="AD12" s="130">
        <v>367405</v>
      </c>
      <c r="AE12" s="130">
        <v>3674051004</v>
      </c>
      <c r="AF12" s="130" t="s">
        <v>2346</v>
      </c>
    </row>
    <row r="13" spans="1:32">
      <c r="A13" s="10">
        <f t="shared" si="0"/>
        <v>12</v>
      </c>
      <c r="B13" s="11" t="s">
        <v>136</v>
      </c>
      <c r="C13" s="12" t="s">
        <v>137</v>
      </c>
      <c r="D13" s="29" t="s">
        <v>138</v>
      </c>
      <c r="E13" s="13" t="s">
        <v>139</v>
      </c>
      <c r="F13" s="18" t="s">
        <v>32</v>
      </c>
      <c r="G13" s="12" t="s">
        <v>140</v>
      </c>
      <c r="H13" s="12" t="s">
        <v>141</v>
      </c>
      <c r="I13" s="132">
        <v>30549</v>
      </c>
      <c r="J13" s="16" t="s">
        <v>35</v>
      </c>
      <c r="K13" s="17" t="s">
        <v>142</v>
      </c>
      <c r="L13" s="11" t="s">
        <v>143</v>
      </c>
      <c r="M13" s="11" t="s">
        <v>79</v>
      </c>
      <c r="N13" s="28"/>
      <c r="O13" s="19" t="s">
        <v>144</v>
      </c>
      <c r="P13" s="19" t="s">
        <v>145</v>
      </c>
      <c r="Q13" s="19">
        <v>12210</v>
      </c>
      <c r="R13" s="18" t="s">
        <v>41</v>
      </c>
      <c r="S13" s="18" t="s">
        <v>52</v>
      </c>
      <c r="T13" s="21" t="str">
        <f>VLOOKUP(C13,'[1]TABEL SMA'!$C$8:$D$343,2,0)</f>
        <v>TIDAK LENGKAP</v>
      </c>
      <c r="U13" s="22" t="str">
        <f>IFERROR(VLOOKUP(Table11[[#This Row],[Nama]],'[1]TABEL BEASISWA'!$B$4:$D$202,2,FALSE),"TIDAK")</f>
        <v>TIDAK</v>
      </c>
      <c r="V13" s="23" t="str">
        <f>IFERROR(VLOOKUP(Table11[[#This Row],[Nama]],'[1]TABEL BEASISWA'!$B$4:$D$202,3,FALSE),"Tidak ada")</f>
        <v>Tidak ada</v>
      </c>
      <c r="W13" s="24" t="str">
        <f>IFERROR(VLOOKUP(Table11[[#This Row],[Nama]],'[1]TABEL BEASISWA'!$B$4:$E$202,4,FALSE)," ")</f>
        <v xml:space="preserve"> </v>
      </c>
      <c r="X13" s="25"/>
      <c r="Y13" s="25"/>
      <c r="Z13" s="26"/>
      <c r="AA13" s="25"/>
      <c r="AB13" s="25"/>
      <c r="AC13" s="130">
        <v>1001001</v>
      </c>
      <c r="AD13" s="130">
        <v>317405</v>
      </c>
      <c r="AE13" s="130">
        <v>3174051004</v>
      </c>
      <c r="AF13" s="130" t="s">
        <v>2346</v>
      </c>
    </row>
    <row r="14" spans="1:32" ht="28">
      <c r="A14" s="10">
        <f t="shared" si="0"/>
        <v>13</v>
      </c>
      <c r="B14" s="11" t="s">
        <v>146</v>
      </c>
      <c r="C14" s="12" t="s">
        <v>147</v>
      </c>
      <c r="D14" s="29" t="s">
        <v>148</v>
      </c>
      <c r="E14" s="18" t="s">
        <v>140</v>
      </c>
      <c r="F14" s="18" t="s">
        <v>32</v>
      </c>
      <c r="G14" s="27" t="s">
        <v>149</v>
      </c>
      <c r="H14" s="12" t="s">
        <v>150</v>
      </c>
      <c r="I14" s="132">
        <v>33504</v>
      </c>
      <c r="J14" s="16" t="s">
        <v>35</v>
      </c>
      <c r="K14" s="17" t="s">
        <v>151</v>
      </c>
      <c r="L14" s="11" t="s">
        <v>143</v>
      </c>
      <c r="M14" s="11" t="s">
        <v>50</v>
      </c>
      <c r="N14" s="28"/>
      <c r="O14" s="19" t="s">
        <v>125</v>
      </c>
      <c r="P14" s="19" t="s">
        <v>152</v>
      </c>
      <c r="Q14" s="19">
        <v>12440</v>
      </c>
      <c r="R14" s="18" t="s">
        <v>41</v>
      </c>
      <c r="S14" s="18" t="s">
        <v>52</v>
      </c>
      <c r="T14" s="21" t="str">
        <f>VLOOKUP(C14,'[1]TABEL SMA'!$C$8:$D$343,2,0)</f>
        <v>SMA BAKTI IDHATA JAKARTA SELATAN</v>
      </c>
      <c r="U14" s="22" t="str">
        <f>IFERROR(VLOOKUP(Table11[[#This Row],[Nama]],'[1]TABEL BEASISWA'!$B$4:$D$202,2,FALSE),"TIDAK")</f>
        <v>YA</v>
      </c>
      <c r="V14" s="23" t="str">
        <f>IFERROR(VLOOKUP(Table11[[#This Row],[Nama]],'[1]TABEL BEASISWA'!$B$4:$D$202,3,FALSE),"Tidak ada")</f>
        <v>Beasiswa 100%, Umum</v>
      </c>
      <c r="W14" s="24" t="str">
        <f>IFERROR(VLOOKUP(Table11[[#This Row],[Nama]],'[1]TABEL BEASISWA'!$B$4:$E$202,4,FALSE)," ")</f>
        <v>Angkatan 1</v>
      </c>
      <c r="X14" s="25"/>
      <c r="Y14" s="25"/>
      <c r="Z14" s="26"/>
      <c r="AA14" s="25"/>
      <c r="AB14" s="25"/>
      <c r="AC14" s="130">
        <v>1001001</v>
      </c>
      <c r="AD14" s="130">
        <v>317406</v>
      </c>
      <c r="AE14" s="130">
        <v>3174061002</v>
      </c>
      <c r="AF14" s="130" t="s">
        <v>2346</v>
      </c>
    </row>
    <row r="15" spans="1:32" ht="28">
      <c r="A15" s="10">
        <f t="shared" si="0"/>
        <v>14</v>
      </c>
      <c r="B15" s="11" t="s">
        <v>153</v>
      </c>
      <c r="C15" s="12" t="s">
        <v>154</v>
      </c>
      <c r="D15" s="29" t="s">
        <v>155</v>
      </c>
      <c r="E15" s="13" t="s">
        <v>156</v>
      </c>
      <c r="F15" s="18" t="s">
        <v>32</v>
      </c>
      <c r="G15" s="27" t="s">
        <v>157</v>
      </c>
      <c r="H15" s="12" t="s">
        <v>158</v>
      </c>
      <c r="I15" s="132">
        <v>37675</v>
      </c>
      <c r="J15" s="16" t="s">
        <v>35</v>
      </c>
      <c r="K15" s="17" t="s">
        <v>159</v>
      </c>
      <c r="L15" s="11" t="s">
        <v>160</v>
      </c>
      <c r="M15" s="11" t="s">
        <v>61</v>
      </c>
      <c r="N15" s="28"/>
      <c r="O15" s="19" t="s">
        <v>161</v>
      </c>
      <c r="P15" s="19" t="s">
        <v>162</v>
      </c>
      <c r="Q15" s="19">
        <v>31526</v>
      </c>
      <c r="R15" s="18" t="s">
        <v>41</v>
      </c>
      <c r="S15" s="18" t="s">
        <v>52</v>
      </c>
      <c r="T15" s="21" t="str">
        <f>VLOOKUP(C15,'[1]TABEL SMA'!$C$8:$D$343,2,0)</f>
        <v>SMA NEGERI 4 LAHAT</v>
      </c>
      <c r="U15" s="22" t="str">
        <f>IFERROR(VLOOKUP(Table11[[#This Row],[Nama]],'[1]TABEL BEASISWA'!$B$4:$D$202,2,FALSE),"TIDAK")</f>
        <v>YA</v>
      </c>
      <c r="V15" s="23" t="str">
        <f>IFERROR(VLOOKUP(Table11[[#This Row],[Nama]],'[1]TABEL BEASISWA'!$B$4:$D$202,3,FALSE),"Tidak ada")</f>
        <v>Beasiswa 100%, Pegawai Kejaksaan</v>
      </c>
      <c r="W15" s="24" t="str">
        <f>IFERROR(VLOOKUP(Table11[[#This Row],[Nama]],'[1]TABEL BEASISWA'!$B$4:$E$202,4,FALSE)," ")</f>
        <v>Angkatan 1</v>
      </c>
      <c r="X15" s="25"/>
      <c r="Y15" s="25"/>
      <c r="Z15" s="26"/>
      <c r="AA15" s="25"/>
      <c r="AB15" s="25"/>
      <c r="AC15" s="130">
        <v>1001001</v>
      </c>
      <c r="AD15" s="130">
        <v>167202</v>
      </c>
      <c r="AE15" s="130"/>
      <c r="AF15" s="130" t="s">
        <v>2346</v>
      </c>
    </row>
    <row r="16" spans="1:32" ht="28">
      <c r="A16" s="10">
        <f t="shared" si="0"/>
        <v>15</v>
      </c>
      <c r="B16" s="11" t="s">
        <v>163</v>
      </c>
      <c r="C16" s="12" t="s">
        <v>164</v>
      </c>
      <c r="D16" s="29" t="s">
        <v>165</v>
      </c>
      <c r="E16" s="13" t="s">
        <v>166</v>
      </c>
      <c r="F16" s="18" t="s">
        <v>32</v>
      </c>
      <c r="G16" s="27" t="s">
        <v>167</v>
      </c>
      <c r="H16" s="12" t="s">
        <v>150</v>
      </c>
      <c r="I16" s="132">
        <v>35619</v>
      </c>
      <c r="J16" s="16" t="s">
        <v>35</v>
      </c>
      <c r="K16" s="17" t="s">
        <v>168</v>
      </c>
      <c r="L16" s="11" t="s">
        <v>169</v>
      </c>
      <c r="M16" s="11" t="s">
        <v>79</v>
      </c>
      <c r="N16" s="28"/>
      <c r="O16" s="19" t="s">
        <v>170</v>
      </c>
      <c r="P16" s="19" t="s">
        <v>171</v>
      </c>
      <c r="Q16" s="19" t="s">
        <v>140</v>
      </c>
      <c r="R16" s="18" t="s">
        <v>41</v>
      </c>
      <c r="S16" s="18" t="s">
        <v>52</v>
      </c>
      <c r="T16" s="21" t="str">
        <f>VLOOKUP(C16,'[1]TABEL SMA'!$C$8:$D$343,2,0)</f>
        <v>SMK SMTI PADANG SUMATERA BARAT</v>
      </c>
      <c r="U16" s="22" t="str">
        <f>IFERROR(VLOOKUP(Table11[[#This Row],[Nama]],'[1]TABEL BEASISWA'!$B$4:$D$202,2,FALSE),"TIDAK")</f>
        <v>YA</v>
      </c>
      <c r="V16" s="23" t="str">
        <f>IFERROR(VLOOKUP(Table11[[#This Row],[Nama]],'[1]TABEL BEASISWA'!$B$4:$D$202,3,FALSE),"Tidak ada")</f>
        <v>Beasiswa 100%, Pegawai Kejaksaan</v>
      </c>
      <c r="W16" s="24" t="str">
        <f>IFERROR(VLOOKUP(Table11[[#This Row],[Nama]],'[1]TABEL BEASISWA'!$B$4:$E$202,4,FALSE)," ")</f>
        <v>Angkatan 1</v>
      </c>
      <c r="X16" s="25"/>
      <c r="Y16" s="25"/>
      <c r="Z16" s="26"/>
      <c r="AA16" s="25"/>
      <c r="AB16" s="25"/>
      <c r="AC16" s="130">
        <v>1001001</v>
      </c>
      <c r="AD16" s="130">
        <v>137103</v>
      </c>
      <c r="AE16" s="130">
        <v>1371031004</v>
      </c>
      <c r="AF16" s="130" t="s">
        <v>2346</v>
      </c>
    </row>
    <row r="17" spans="1:32" ht="42">
      <c r="A17" s="10">
        <f t="shared" si="0"/>
        <v>16</v>
      </c>
      <c r="B17" s="11" t="s">
        <v>172</v>
      </c>
      <c r="C17" s="12" t="s">
        <v>173</v>
      </c>
      <c r="D17" s="29" t="s">
        <v>174</v>
      </c>
      <c r="E17" s="13" t="s">
        <v>175</v>
      </c>
      <c r="F17" s="18" t="s">
        <v>67</v>
      </c>
      <c r="G17" s="27" t="s">
        <v>176</v>
      </c>
      <c r="H17" s="12" t="s">
        <v>177</v>
      </c>
      <c r="I17" s="132">
        <v>36611</v>
      </c>
      <c r="J17" s="16" t="s">
        <v>97</v>
      </c>
      <c r="K17" s="17" t="s">
        <v>178</v>
      </c>
      <c r="L17" s="19" t="s">
        <v>140</v>
      </c>
      <c r="M17" s="19" t="s">
        <v>140</v>
      </c>
      <c r="N17" s="28"/>
      <c r="O17" s="19" t="s">
        <v>179</v>
      </c>
      <c r="P17" s="19" t="s">
        <v>180</v>
      </c>
      <c r="Q17" s="19" t="s">
        <v>140</v>
      </c>
      <c r="R17" s="18" t="s">
        <v>41</v>
      </c>
      <c r="S17" s="18" t="s">
        <v>52</v>
      </c>
      <c r="T17" s="21" t="str">
        <f>VLOOKUP(C17,'[1]TABEL SMA'!$C$8:$D$343,2,0)</f>
        <v>SMA NEGERI 1 TOMOHON SULAWESI UTARA</v>
      </c>
      <c r="U17" s="22" t="str">
        <f>IFERROR(VLOOKUP(Table11[[#This Row],[Nama]],'[1]TABEL BEASISWA'!$B$4:$D$202,2,FALSE),"TIDAK")</f>
        <v>YA</v>
      </c>
      <c r="V17" s="23" t="str">
        <f>IFERROR(VLOOKUP(Table11[[#This Row],[Nama]],'[1]TABEL BEASISWA'!$B$4:$D$202,3,FALSE),"Tidak ada")</f>
        <v>Beasiswa 100%, Keluarga Adhyaksa (Putra Putri Jaksa)</v>
      </c>
      <c r="W17" s="24" t="str">
        <f>IFERROR(VLOOKUP(Table11[[#This Row],[Nama]],'[1]TABEL BEASISWA'!$B$4:$E$202,4,FALSE)," ")</f>
        <v>Angkatan 1</v>
      </c>
      <c r="X17" s="25"/>
      <c r="Y17" s="25"/>
      <c r="Z17" s="26"/>
      <c r="AA17" s="25"/>
      <c r="AB17" s="25"/>
      <c r="AC17" s="130">
        <v>1001002</v>
      </c>
      <c r="AD17" s="130">
        <v>717301</v>
      </c>
      <c r="AE17" s="130">
        <v>7173011004</v>
      </c>
      <c r="AF17" s="130" t="s">
        <v>2346</v>
      </c>
    </row>
    <row r="18" spans="1:32" ht="28">
      <c r="A18" s="10">
        <f t="shared" si="0"/>
        <v>17</v>
      </c>
      <c r="B18" s="11" t="s">
        <v>181</v>
      </c>
      <c r="C18" s="12" t="s">
        <v>182</v>
      </c>
      <c r="D18" s="29" t="s">
        <v>183</v>
      </c>
      <c r="E18" s="13" t="s">
        <v>184</v>
      </c>
      <c r="F18" s="18" t="s">
        <v>32</v>
      </c>
      <c r="G18" s="27" t="s">
        <v>185</v>
      </c>
      <c r="H18" s="12" t="s">
        <v>186</v>
      </c>
      <c r="I18" s="132">
        <v>36700</v>
      </c>
      <c r="J18" s="16" t="s">
        <v>35</v>
      </c>
      <c r="K18" s="17" t="s">
        <v>187</v>
      </c>
      <c r="L18" s="11" t="s">
        <v>61</v>
      </c>
      <c r="M18" s="11" t="s">
        <v>79</v>
      </c>
      <c r="N18" s="28"/>
      <c r="O18" s="19" t="s">
        <v>188</v>
      </c>
      <c r="P18" s="19" t="s">
        <v>189</v>
      </c>
      <c r="Q18" s="19">
        <v>29439</v>
      </c>
      <c r="R18" s="18" t="s">
        <v>41</v>
      </c>
      <c r="S18" s="18" t="s">
        <v>52</v>
      </c>
      <c r="T18" s="21" t="str">
        <f>VLOOKUP(C18,'[1]TABEL SMA'!$C$8:$D$343,2,0)</f>
        <v>SMK NEGERI 1 BATAM</v>
      </c>
      <c r="U18" s="22" t="str">
        <f>IFERROR(VLOOKUP(Table11[[#This Row],[Nama]],'[1]TABEL BEASISWA'!$B$4:$D$202,2,FALSE),"TIDAK")</f>
        <v>YA</v>
      </c>
      <c r="V18" s="23" t="str">
        <f>IFERROR(VLOOKUP(Table11[[#This Row],[Nama]],'[1]TABEL BEASISWA'!$B$4:$D$202,3,FALSE),"Tidak ada")</f>
        <v>Beasiswa 100%, Pegawai Kejaksaan</v>
      </c>
      <c r="W18" s="24" t="str">
        <f>IFERROR(VLOOKUP(Table11[[#This Row],[Nama]],'[1]TABEL BEASISWA'!$B$4:$E$202,4,FALSE)," ")</f>
        <v>Angkatan 1</v>
      </c>
      <c r="X18" s="25"/>
      <c r="Y18" s="25"/>
      <c r="Z18" s="26"/>
      <c r="AA18" s="25"/>
      <c r="AB18" s="25"/>
      <c r="AC18" s="130">
        <v>1001001</v>
      </c>
      <c r="AD18" s="130">
        <v>217111</v>
      </c>
      <c r="AE18" s="130">
        <v>2171111002</v>
      </c>
      <c r="AF18" s="130" t="s">
        <v>2346</v>
      </c>
    </row>
    <row r="19" spans="1:32" ht="28">
      <c r="A19" s="10">
        <f t="shared" si="0"/>
        <v>18</v>
      </c>
      <c r="B19" s="11" t="s">
        <v>190</v>
      </c>
      <c r="C19" s="12" t="s">
        <v>191</v>
      </c>
      <c r="D19" s="29" t="s">
        <v>192</v>
      </c>
      <c r="E19" s="13" t="s">
        <v>193</v>
      </c>
      <c r="F19" s="18" t="s">
        <v>67</v>
      </c>
      <c r="G19" s="27" t="s">
        <v>194</v>
      </c>
      <c r="H19" s="12" t="s">
        <v>195</v>
      </c>
      <c r="I19" s="132">
        <v>37161</v>
      </c>
      <c r="J19" s="16" t="s">
        <v>35</v>
      </c>
      <c r="K19" s="17" t="s">
        <v>196</v>
      </c>
      <c r="L19" s="11" t="s">
        <v>143</v>
      </c>
      <c r="M19" s="11" t="s">
        <v>79</v>
      </c>
      <c r="N19" s="28"/>
      <c r="O19" s="19" t="s">
        <v>197</v>
      </c>
      <c r="P19" s="19" t="s">
        <v>195</v>
      </c>
      <c r="Q19" s="19">
        <v>28451</v>
      </c>
      <c r="R19" s="18" t="s">
        <v>41</v>
      </c>
      <c r="S19" s="18" t="s">
        <v>52</v>
      </c>
      <c r="T19" s="21" t="str">
        <f>VLOOKUP(C19,'[1]TABEL SMA'!$C$8:$D$343,2,0)</f>
        <v>SMA NEGERI 1 BANGKINANG KOTA</v>
      </c>
      <c r="U19" s="22" t="str">
        <f>IFERROR(VLOOKUP(Table11[[#This Row],[Nama]],'[1]TABEL BEASISWA'!$B$4:$D$202,2,FALSE),"TIDAK")</f>
        <v>YA</v>
      </c>
      <c r="V19" s="23" t="str">
        <f>IFERROR(VLOOKUP(Table11[[#This Row],[Nama]],'[1]TABEL BEASISWA'!$B$4:$D$202,3,FALSE),"Tidak ada")</f>
        <v>Beasiswa 100%, Pegawai Kejaksaan</v>
      </c>
      <c r="W19" s="24" t="str">
        <f>IFERROR(VLOOKUP(Table11[[#This Row],[Nama]],'[1]TABEL BEASISWA'!$B$4:$E$202,4,FALSE)," ")</f>
        <v>Angkatan 1</v>
      </c>
      <c r="X19" s="25"/>
      <c r="Y19" s="25"/>
      <c r="Z19" s="26"/>
      <c r="AA19" s="25"/>
      <c r="AB19" s="25"/>
      <c r="AC19" s="130">
        <v>1001001</v>
      </c>
      <c r="AD19" s="130">
        <v>140115</v>
      </c>
      <c r="AE19" s="130">
        <v>1401152001</v>
      </c>
      <c r="AF19" s="130" t="s">
        <v>2346</v>
      </c>
    </row>
    <row r="20" spans="1:32" ht="42">
      <c r="A20" s="10">
        <f t="shared" si="0"/>
        <v>19</v>
      </c>
      <c r="B20" s="11" t="s">
        <v>198</v>
      </c>
      <c r="C20" s="12" t="s">
        <v>199</v>
      </c>
      <c r="D20" s="29" t="s">
        <v>200</v>
      </c>
      <c r="E20" s="13" t="s">
        <v>201</v>
      </c>
      <c r="F20" s="18" t="s">
        <v>32</v>
      </c>
      <c r="G20" s="27" t="s">
        <v>202</v>
      </c>
      <c r="H20" s="12" t="s">
        <v>203</v>
      </c>
      <c r="I20" s="132">
        <v>35070</v>
      </c>
      <c r="J20" s="16" t="s">
        <v>35</v>
      </c>
      <c r="K20" s="17" t="s">
        <v>204</v>
      </c>
      <c r="L20" s="11" t="s">
        <v>205</v>
      </c>
      <c r="M20" s="19" t="s">
        <v>140</v>
      </c>
      <c r="N20" s="28"/>
      <c r="O20" s="19" t="s">
        <v>206</v>
      </c>
      <c r="P20" s="19" t="s">
        <v>207</v>
      </c>
      <c r="Q20" s="19">
        <v>36112</v>
      </c>
      <c r="R20" s="18" t="s">
        <v>41</v>
      </c>
      <c r="S20" s="18" t="s">
        <v>52</v>
      </c>
      <c r="T20" s="21" t="str">
        <f>VLOOKUP(C20,'[1]TABEL SMA'!$C$8:$D$343,2,0)</f>
        <v>SMA SWASTA PEMBANGUNAN YPWI JAMBI</v>
      </c>
      <c r="U20" s="22" t="str">
        <f>IFERROR(VLOOKUP(Table11[[#This Row],[Nama]],'[1]TABEL BEASISWA'!$B$4:$D$202,2,FALSE),"TIDAK")</f>
        <v>YA</v>
      </c>
      <c r="V20" s="23" t="str">
        <f>IFERROR(VLOOKUP(Table11[[#This Row],[Nama]],'[1]TABEL BEASISWA'!$B$4:$D$202,3,FALSE),"Tidak ada")</f>
        <v>Beasiswa 100%, Pegawai Kejaksaan</v>
      </c>
      <c r="W20" s="24" t="str">
        <f>IFERROR(VLOOKUP(Table11[[#This Row],[Nama]],'[1]TABEL BEASISWA'!$B$4:$E$202,4,FALSE)," ")</f>
        <v>Angkatan 1</v>
      </c>
      <c r="X20" s="25"/>
      <c r="Y20" s="25"/>
      <c r="Z20" s="26"/>
      <c r="AA20" s="25"/>
      <c r="AB20" s="25"/>
      <c r="AC20" s="130">
        <v>1001001</v>
      </c>
      <c r="AD20" s="130">
        <v>157104</v>
      </c>
      <c r="AE20" s="130">
        <v>1571041001</v>
      </c>
      <c r="AF20" s="130" t="s">
        <v>2346</v>
      </c>
    </row>
    <row r="21" spans="1:32" ht="42">
      <c r="A21" s="10">
        <f t="shared" si="0"/>
        <v>20</v>
      </c>
      <c r="B21" s="11" t="s">
        <v>208</v>
      </c>
      <c r="C21" s="12" t="s">
        <v>209</v>
      </c>
      <c r="D21" s="29" t="s">
        <v>210</v>
      </c>
      <c r="E21" s="13" t="s">
        <v>211</v>
      </c>
      <c r="F21" s="18" t="s">
        <v>67</v>
      </c>
      <c r="G21" s="27" t="s">
        <v>212</v>
      </c>
      <c r="H21" s="12" t="s">
        <v>213</v>
      </c>
      <c r="I21" s="132">
        <v>38419</v>
      </c>
      <c r="J21" s="16" t="s">
        <v>97</v>
      </c>
      <c r="K21" s="17" t="s">
        <v>214</v>
      </c>
      <c r="L21" s="19" t="s">
        <v>140</v>
      </c>
      <c r="M21" s="19" t="s">
        <v>140</v>
      </c>
      <c r="N21" s="28"/>
      <c r="O21" s="19" t="s">
        <v>215</v>
      </c>
      <c r="P21" s="19" t="s">
        <v>216</v>
      </c>
      <c r="Q21" s="19" t="s">
        <v>140</v>
      </c>
      <c r="R21" s="18" t="s">
        <v>41</v>
      </c>
      <c r="S21" s="18" t="s">
        <v>52</v>
      </c>
      <c r="T21" s="21" t="str">
        <f>VLOOKUP(C21,'[1]TABEL SMA'!$C$8:$D$343,2,0)</f>
        <v>SMA PLUS SEDAYU NUSANTARA MEDAN</v>
      </c>
      <c r="U21" s="22" t="str">
        <f>IFERROR(VLOOKUP(Table11[[#This Row],[Nama]],'[1]TABEL BEASISWA'!$B$4:$D$202,2,FALSE),"TIDAK")</f>
        <v>YA</v>
      </c>
      <c r="V21" s="23" t="str">
        <f>IFERROR(VLOOKUP(Table11[[#This Row],[Nama]],'[1]TABEL BEASISWA'!$B$4:$D$202,3,FALSE),"Tidak ada")</f>
        <v>Beasiswa 100%, Keluarga Adhyaksa (Putra Putri Jaksa)</v>
      </c>
      <c r="W21" s="24" t="str">
        <f>IFERROR(VLOOKUP(Table11[[#This Row],[Nama]],'[1]TABEL BEASISWA'!$B$4:$E$202,4,FALSE)," ")</f>
        <v>Angkatan 1</v>
      </c>
      <c r="X21" s="25"/>
      <c r="Y21" s="25"/>
      <c r="Z21" s="26"/>
      <c r="AA21" s="25"/>
      <c r="AB21" s="25"/>
      <c r="AC21" s="130">
        <v>1001002</v>
      </c>
      <c r="AD21" s="130">
        <v>127108</v>
      </c>
      <c r="AE21" s="130">
        <v>1401152001</v>
      </c>
      <c r="AF21" s="130" t="s">
        <v>2346</v>
      </c>
    </row>
    <row r="22" spans="1:32" ht="28">
      <c r="A22" s="10">
        <f t="shared" si="0"/>
        <v>21</v>
      </c>
      <c r="B22" s="11" t="s">
        <v>217</v>
      </c>
      <c r="C22" s="12" t="s">
        <v>218</v>
      </c>
      <c r="D22" s="29" t="s">
        <v>219</v>
      </c>
      <c r="E22" s="13" t="s">
        <v>220</v>
      </c>
      <c r="F22" s="18" t="s">
        <v>67</v>
      </c>
      <c r="G22" s="27" t="s">
        <v>221</v>
      </c>
      <c r="H22" s="12" t="s">
        <v>222</v>
      </c>
      <c r="I22" s="132">
        <v>38265</v>
      </c>
      <c r="J22" s="16" t="s">
        <v>35</v>
      </c>
      <c r="K22" s="17" t="s">
        <v>223</v>
      </c>
      <c r="L22" s="11" t="s">
        <v>49</v>
      </c>
      <c r="M22" s="11" t="s">
        <v>143</v>
      </c>
      <c r="N22" s="18" t="s">
        <v>224</v>
      </c>
      <c r="O22" s="19" t="s">
        <v>225</v>
      </c>
      <c r="P22" s="19" t="s">
        <v>226</v>
      </c>
      <c r="Q22" s="19" t="s">
        <v>140</v>
      </c>
      <c r="R22" s="18" t="s">
        <v>41</v>
      </c>
      <c r="S22" s="18" t="s">
        <v>52</v>
      </c>
      <c r="T22" s="21" t="str">
        <f>VLOOKUP(C22,'[1]TABEL SMA'!$C$8:$D$343,2,0)</f>
        <v>SMA NEGERI 3 PANGKALPINANG</v>
      </c>
      <c r="U22" s="22" t="str">
        <f>IFERROR(VLOOKUP(Table11[[#This Row],[Nama]],'[1]TABEL BEASISWA'!$B$4:$D$202,2,FALSE),"TIDAK")</f>
        <v>TIDAK</v>
      </c>
      <c r="V22" s="23" t="str">
        <f>IFERROR(VLOOKUP(Table11[[#This Row],[Nama]],'[1]TABEL BEASISWA'!$B$4:$D$202,3,FALSE),"Tidak ada")</f>
        <v>Tidak ada</v>
      </c>
      <c r="W22" s="24" t="str">
        <f>IFERROR(VLOOKUP(Table11[[#This Row],[Nama]],'[1]TABEL BEASISWA'!$B$4:$E$202,4,FALSE)," ")</f>
        <v xml:space="preserve"> </v>
      </c>
      <c r="X22" s="25"/>
      <c r="Y22" s="25"/>
      <c r="Z22" s="26"/>
      <c r="AA22" s="25"/>
      <c r="AB22" s="25"/>
      <c r="AC22" s="130">
        <v>1001001</v>
      </c>
      <c r="AD22" s="130">
        <v>197104</v>
      </c>
      <c r="AE22" s="130">
        <v>1971041010</v>
      </c>
      <c r="AF22" s="130" t="s">
        <v>2346</v>
      </c>
    </row>
    <row r="23" spans="1:32" ht="42">
      <c r="A23" s="10">
        <f t="shared" si="0"/>
        <v>22</v>
      </c>
      <c r="B23" s="11" t="s">
        <v>227</v>
      </c>
      <c r="C23" s="12" t="s">
        <v>228</v>
      </c>
      <c r="D23" s="29" t="s">
        <v>229</v>
      </c>
      <c r="E23" s="18" t="s">
        <v>140</v>
      </c>
      <c r="F23" s="18" t="s">
        <v>67</v>
      </c>
      <c r="G23" s="27" t="s">
        <v>230</v>
      </c>
      <c r="H23" s="12" t="s">
        <v>231</v>
      </c>
      <c r="I23" s="132">
        <v>33947</v>
      </c>
      <c r="J23" s="16" t="s">
        <v>35</v>
      </c>
      <c r="K23" s="17" t="s">
        <v>232</v>
      </c>
      <c r="L23" s="19" t="s">
        <v>140</v>
      </c>
      <c r="M23" s="19" t="s">
        <v>140</v>
      </c>
      <c r="N23" s="18" t="s">
        <v>233</v>
      </c>
      <c r="O23" s="19" t="s">
        <v>234</v>
      </c>
      <c r="P23" s="19" t="s">
        <v>235</v>
      </c>
      <c r="Q23" s="19">
        <v>93561</v>
      </c>
      <c r="R23" s="18" t="s">
        <v>41</v>
      </c>
      <c r="S23" s="18" t="s">
        <v>52</v>
      </c>
      <c r="T23" s="21" t="str">
        <f>VLOOKUP(C23,'[1]TABEL SMA'!$C$8:$D$343,2,0)</f>
        <v>SMAN 1 KOLAKA SULAWESI TENGGARA</v>
      </c>
      <c r="U23" s="22" t="str">
        <f>IFERROR(VLOOKUP(Table11[[#This Row],[Nama]],'[1]TABEL BEASISWA'!$B$4:$D$202,2,FALSE),"TIDAK")</f>
        <v>YA</v>
      </c>
      <c r="V23" s="23" t="str">
        <f>IFERROR(VLOOKUP(Table11[[#This Row],[Nama]],'[1]TABEL BEASISWA'!$B$4:$D$202,3,FALSE),"Tidak ada")</f>
        <v>Beasiswa 100%, Pegawai Kejaksaan</v>
      </c>
      <c r="W23" s="24" t="str">
        <f>IFERROR(VLOOKUP(Table11[[#This Row],[Nama]],'[1]TABEL BEASISWA'!$B$4:$E$202,4,FALSE)," ")</f>
        <v>Angkatan 1</v>
      </c>
      <c r="X23" s="25"/>
      <c r="Y23" s="25"/>
      <c r="Z23" s="26"/>
      <c r="AA23" s="25"/>
      <c r="AB23" s="25"/>
      <c r="AC23" s="130">
        <v>1001001</v>
      </c>
      <c r="AD23" s="130">
        <v>740101</v>
      </c>
      <c r="AE23" s="130"/>
      <c r="AF23" s="130" t="s">
        <v>2346</v>
      </c>
    </row>
    <row r="24" spans="1:32" ht="42">
      <c r="A24" s="10">
        <f t="shared" si="0"/>
        <v>23</v>
      </c>
      <c r="B24" s="11" t="s">
        <v>236</v>
      </c>
      <c r="C24" s="12" t="s">
        <v>237</v>
      </c>
      <c r="D24" s="29" t="s">
        <v>238</v>
      </c>
      <c r="E24" s="13" t="s">
        <v>239</v>
      </c>
      <c r="F24" s="18" t="s">
        <v>67</v>
      </c>
      <c r="G24" s="27" t="s">
        <v>240</v>
      </c>
      <c r="H24" s="12" t="s">
        <v>241</v>
      </c>
      <c r="I24" s="132">
        <v>35490</v>
      </c>
      <c r="J24" s="16" t="s">
        <v>97</v>
      </c>
      <c r="K24" s="17" t="s">
        <v>242</v>
      </c>
      <c r="L24" s="19" t="s">
        <v>140</v>
      </c>
      <c r="M24" s="19" t="s">
        <v>140</v>
      </c>
      <c r="N24" s="28"/>
      <c r="O24" s="19" t="s">
        <v>243</v>
      </c>
      <c r="P24" s="19" t="s">
        <v>244</v>
      </c>
      <c r="Q24" s="19">
        <v>91515</v>
      </c>
      <c r="R24" s="18" t="s">
        <v>41</v>
      </c>
      <c r="S24" s="18" t="s">
        <v>52</v>
      </c>
      <c r="T24" s="21" t="str">
        <f>VLOOKUP(C24,'[1]TABEL SMA'!$C$8:$D$343,2,0)</f>
        <v>SMA NEGERI 1 MAMUJU SLAWESI BARAT</v>
      </c>
      <c r="U24" s="22" t="str">
        <f>IFERROR(VLOOKUP(Table11[[#This Row],[Nama]],'[1]TABEL BEASISWA'!$B$4:$D$202,2,FALSE),"TIDAK")</f>
        <v>YA</v>
      </c>
      <c r="V24" s="23" t="str">
        <f>IFERROR(VLOOKUP(Table11[[#This Row],[Nama]],'[1]TABEL BEASISWA'!$B$4:$D$202,3,FALSE),"Tidak ada")</f>
        <v>Beasiswa 100%, Pegawai Kejaksaan</v>
      </c>
      <c r="W24" s="24" t="str">
        <f>IFERROR(VLOOKUP(Table11[[#This Row],[Nama]],'[1]TABEL BEASISWA'!$B$4:$E$202,4,FALSE)," ")</f>
        <v>Angkatan 1</v>
      </c>
      <c r="X24" s="25"/>
      <c r="Y24" s="25"/>
      <c r="Z24" s="26"/>
      <c r="AA24" s="25"/>
      <c r="AB24" s="25"/>
      <c r="AC24" s="130">
        <v>1001002</v>
      </c>
      <c r="AD24" s="130">
        <v>760201</v>
      </c>
      <c r="AE24" s="130"/>
      <c r="AF24" s="130" t="s">
        <v>2346</v>
      </c>
    </row>
    <row r="25" spans="1:32" ht="28">
      <c r="A25" s="10">
        <f t="shared" si="0"/>
        <v>24</v>
      </c>
      <c r="B25" s="11" t="s">
        <v>245</v>
      </c>
      <c r="C25" s="12" t="s">
        <v>246</v>
      </c>
      <c r="D25" s="29" t="s">
        <v>247</v>
      </c>
      <c r="E25" s="13" t="s">
        <v>248</v>
      </c>
      <c r="F25" s="18" t="s">
        <v>32</v>
      </c>
      <c r="G25" s="27" t="s">
        <v>249</v>
      </c>
      <c r="H25" s="12" t="s">
        <v>250</v>
      </c>
      <c r="I25" s="132">
        <v>35045</v>
      </c>
      <c r="J25" s="16" t="s">
        <v>35</v>
      </c>
      <c r="K25" s="17" t="s">
        <v>251</v>
      </c>
      <c r="L25" s="11" t="s">
        <v>50</v>
      </c>
      <c r="M25" s="11" t="s">
        <v>60</v>
      </c>
      <c r="N25" s="28"/>
      <c r="O25" s="19" t="s">
        <v>252</v>
      </c>
      <c r="P25" s="19" t="s">
        <v>253</v>
      </c>
      <c r="Q25" s="19">
        <v>29125</v>
      </c>
      <c r="R25" s="18" t="s">
        <v>41</v>
      </c>
      <c r="S25" s="18" t="s">
        <v>52</v>
      </c>
      <c r="T25" s="21" t="str">
        <f>VLOOKUP(C25,'[1]TABEL SMA'!$C$8:$D$343,2,0)</f>
        <v>SMK NEGERI 1 TANJUNG PINANG</v>
      </c>
      <c r="U25" s="22" t="str">
        <f>IFERROR(VLOOKUP(Table11[[#This Row],[Nama]],'[1]TABEL BEASISWA'!$B$4:$D$202,2,FALSE),"TIDAK")</f>
        <v>YA</v>
      </c>
      <c r="V25" s="23" t="str">
        <f>IFERROR(VLOOKUP(Table11[[#This Row],[Nama]],'[1]TABEL BEASISWA'!$B$4:$D$202,3,FALSE),"Tidak ada")</f>
        <v>Beasiswa 100%, Pegawai Kejaksaan</v>
      </c>
      <c r="W25" s="24" t="str">
        <f>IFERROR(VLOOKUP(Table11[[#This Row],[Nama]],'[1]TABEL BEASISWA'!$B$4:$E$202,4,FALSE)," ")</f>
        <v>Angkatan 1</v>
      </c>
      <c r="X25" s="25"/>
      <c r="Y25" s="25"/>
      <c r="Z25" s="26"/>
      <c r="AA25" s="25"/>
      <c r="AB25" s="25"/>
      <c r="AC25" s="130">
        <v>1001001</v>
      </c>
      <c r="AD25" s="130">
        <v>217202</v>
      </c>
      <c r="AE25" s="130">
        <v>2172021005</v>
      </c>
      <c r="AF25" s="130" t="s">
        <v>2346</v>
      </c>
    </row>
    <row r="26" spans="1:32" ht="28">
      <c r="A26" s="10">
        <f t="shared" si="0"/>
        <v>25</v>
      </c>
      <c r="B26" s="11" t="s">
        <v>254</v>
      </c>
      <c r="C26" s="12" t="s">
        <v>255</v>
      </c>
      <c r="D26" s="29" t="s">
        <v>256</v>
      </c>
      <c r="E26" s="13" t="s">
        <v>257</v>
      </c>
      <c r="F26" s="18" t="s">
        <v>32</v>
      </c>
      <c r="G26" s="27" t="s">
        <v>258</v>
      </c>
      <c r="H26" s="12" t="s">
        <v>259</v>
      </c>
      <c r="I26" s="132">
        <v>36894</v>
      </c>
      <c r="J26" s="16" t="s">
        <v>35</v>
      </c>
      <c r="K26" s="17" t="s">
        <v>260</v>
      </c>
      <c r="L26" s="11" t="s">
        <v>79</v>
      </c>
      <c r="M26" s="11" t="s">
        <v>60</v>
      </c>
      <c r="N26" s="28"/>
      <c r="O26" s="19" t="s">
        <v>261</v>
      </c>
      <c r="P26" s="19" t="s">
        <v>262</v>
      </c>
      <c r="Q26" s="19">
        <v>26136</v>
      </c>
      <c r="R26" s="18" t="s">
        <v>41</v>
      </c>
      <c r="S26" s="18" t="s">
        <v>263</v>
      </c>
      <c r="T26" s="21" t="str">
        <f>VLOOKUP(C26,'[1]TABEL SMA'!$C$8:$D$343,2,0)</f>
        <v>SMA NEGERI 1 PADANGPANJANG</v>
      </c>
      <c r="U26" s="22" t="str">
        <f>IFERROR(VLOOKUP(Table11[[#This Row],[Nama]],'[1]TABEL BEASISWA'!$B$4:$D$202,2,FALSE),"TIDAK")</f>
        <v>YA</v>
      </c>
      <c r="V26" s="23" t="str">
        <f>IFERROR(VLOOKUP(Table11[[#This Row],[Nama]],'[1]TABEL BEASISWA'!$B$4:$D$202,3,FALSE),"Tidak ada")</f>
        <v>Beasiswa 100%, Pegawai Kejaksaan</v>
      </c>
      <c r="W26" s="24" t="str">
        <f>IFERROR(VLOOKUP(Table11[[#This Row],[Nama]],'[1]TABEL BEASISWA'!$B$4:$E$202,4,FALSE)," ")</f>
        <v>Angkatan 1</v>
      </c>
      <c r="X26" s="25"/>
      <c r="Y26" s="25"/>
      <c r="Z26" s="26"/>
      <c r="AA26" s="25"/>
      <c r="AB26" s="25"/>
      <c r="AC26" s="130">
        <v>1001001</v>
      </c>
      <c r="AD26" s="130">
        <v>137503</v>
      </c>
      <c r="AE26" s="130">
        <v>1375031003</v>
      </c>
      <c r="AF26" s="130" t="s">
        <v>2346</v>
      </c>
    </row>
    <row r="27" spans="1:32" ht="42">
      <c r="A27" s="10">
        <f t="shared" si="0"/>
        <v>26</v>
      </c>
      <c r="B27" s="11" t="s">
        <v>264</v>
      </c>
      <c r="C27" s="12" t="s">
        <v>265</v>
      </c>
      <c r="D27" s="29" t="s">
        <v>266</v>
      </c>
      <c r="E27" s="13" t="s">
        <v>267</v>
      </c>
      <c r="F27" s="18" t="s">
        <v>32</v>
      </c>
      <c r="G27" s="27" t="s">
        <v>268</v>
      </c>
      <c r="H27" s="12" t="s">
        <v>213</v>
      </c>
      <c r="I27" s="132">
        <v>37168</v>
      </c>
      <c r="J27" s="16" t="s">
        <v>97</v>
      </c>
      <c r="K27" s="17" t="s">
        <v>269</v>
      </c>
      <c r="L27" s="19" t="s">
        <v>140</v>
      </c>
      <c r="M27" s="19" t="s">
        <v>140</v>
      </c>
      <c r="N27" s="28"/>
      <c r="O27" s="19" t="s">
        <v>270</v>
      </c>
      <c r="P27" s="19" t="s">
        <v>271</v>
      </c>
      <c r="Q27" s="19">
        <v>20714</v>
      </c>
      <c r="R27" s="18" t="s">
        <v>41</v>
      </c>
      <c r="S27" s="18" t="s">
        <v>52</v>
      </c>
      <c r="T27" s="21" t="str">
        <f>VLOOKUP(C27,'[1]TABEL SMA'!$C$8:$D$343,2,0)</f>
        <v>SMA NEGERI 2 BINJAI SUMATERA UTARA</v>
      </c>
      <c r="U27" s="22" t="str">
        <f>IFERROR(VLOOKUP(Table11[[#This Row],[Nama]],'[1]TABEL BEASISWA'!$B$4:$D$202,2,FALSE),"TIDAK")</f>
        <v>YA</v>
      </c>
      <c r="V27" s="23" t="str">
        <f>IFERROR(VLOOKUP(Table11[[#This Row],[Nama]],'[1]TABEL BEASISWA'!$B$4:$D$202,3,FALSE),"Tidak ada")</f>
        <v>Beasiswa 100%, Keluarga Adhyaksa (Putra Putri Jaksa)</v>
      </c>
      <c r="W27" s="24" t="str">
        <f>IFERROR(VLOOKUP(Table11[[#This Row],[Nama]],'[1]TABEL BEASISWA'!$B$4:$E$202,4,FALSE)," ")</f>
        <v>Angkatan 1</v>
      </c>
      <c r="X27" s="25"/>
      <c r="Y27" s="25"/>
      <c r="Z27" s="26"/>
      <c r="AA27" s="25"/>
      <c r="AB27" s="25"/>
      <c r="AC27" s="130">
        <v>1001002</v>
      </c>
      <c r="AD27" s="130">
        <v>127502</v>
      </c>
      <c r="AE27" s="130">
        <v>1275021005</v>
      </c>
      <c r="AF27" s="130" t="s">
        <v>2346</v>
      </c>
    </row>
    <row r="28" spans="1:32" ht="28">
      <c r="A28" s="10">
        <f t="shared" si="0"/>
        <v>27</v>
      </c>
      <c r="B28" s="11" t="s">
        <v>272</v>
      </c>
      <c r="C28" s="12" t="s">
        <v>273</v>
      </c>
      <c r="D28" s="29" t="s">
        <v>274</v>
      </c>
      <c r="E28" s="13" t="s">
        <v>275</v>
      </c>
      <c r="F28" s="18" t="s">
        <v>32</v>
      </c>
      <c r="G28" s="27" t="s">
        <v>276</v>
      </c>
      <c r="H28" s="12" t="s">
        <v>277</v>
      </c>
      <c r="I28" s="132">
        <v>37116</v>
      </c>
      <c r="J28" s="16" t="s">
        <v>35</v>
      </c>
      <c r="K28" s="17" t="s">
        <v>278</v>
      </c>
      <c r="L28" s="11" t="s">
        <v>79</v>
      </c>
      <c r="M28" s="19" t="s">
        <v>140</v>
      </c>
      <c r="N28" s="28"/>
      <c r="O28" s="19" t="s">
        <v>279</v>
      </c>
      <c r="P28" s="19" t="s">
        <v>280</v>
      </c>
      <c r="Q28" s="19">
        <v>35141</v>
      </c>
      <c r="R28" s="18" t="s">
        <v>41</v>
      </c>
      <c r="S28" s="18" t="s">
        <v>263</v>
      </c>
      <c r="T28" s="21" t="str">
        <f>VLOOKUP(C28,'[1]TABEL SMA'!$C$8:$D$343,2,0)</f>
        <v>SMA AL KAUTSAR BANDAR LAMPUNG</v>
      </c>
      <c r="U28" s="22" t="str">
        <f>IFERROR(VLOOKUP(Table11[[#This Row],[Nama]],'[1]TABEL BEASISWA'!$B$4:$D$202,2,FALSE),"TIDAK")</f>
        <v>YA</v>
      </c>
      <c r="V28" s="23" t="str">
        <f>IFERROR(VLOOKUP(Table11[[#This Row],[Nama]],'[1]TABEL BEASISWA'!$B$4:$D$202,3,FALSE),"Tidak ada")</f>
        <v>Beasiswa 100%, Pegawai Kejaksaan</v>
      </c>
      <c r="W28" s="24" t="str">
        <f>IFERROR(VLOOKUP(Table11[[#This Row],[Nama]],'[1]TABEL BEASISWA'!$B$4:$E$202,4,FALSE)," ")</f>
        <v>Angkatan 1</v>
      </c>
      <c r="X28" s="25"/>
      <c r="Y28" s="25"/>
      <c r="Z28" s="26"/>
      <c r="AA28" s="25"/>
      <c r="AB28" s="25"/>
      <c r="AC28" s="130">
        <v>1001001</v>
      </c>
      <c r="AD28" s="130">
        <v>187115</v>
      </c>
      <c r="AE28" s="130">
        <v>1871151001</v>
      </c>
      <c r="AF28" s="130" t="s">
        <v>2346</v>
      </c>
    </row>
    <row r="29" spans="1:32" ht="42">
      <c r="A29" s="10">
        <f t="shared" si="0"/>
        <v>28</v>
      </c>
      <c r="B29" s="11" t="s">
        <v>281</v>
      </c>
      <c r="C29" s="12" t="s">
        <v>282</v>
      </c>
      <c r="D29" s="29" t="s">
        <v>283</v>
      </c>
      <c r="E29" s="13" t="s">
        <v>284</v>
      </c>
      <c r="F29" s="18" t="s">
        <v>67</v>
      </c>
      <c r="G29" s="27" t="s">
        <v>285</v>
      </c>
      <c r="H29" s="12" t="s">
        <v>286</v>
      </c>
      <c r="I29" s="132">
        <v>37713</v>
      </c>
      <c r="J29" s="16" t="s">
        <v>35</v>
      </c>
      <c r="K29" s="17" t="s">
        <v>287</v>
      </c>
      <c r="L29" s="11" t="s">
        <v>60</v>
      </c>
      <c r="M29" s="11" t="s">
        <v>79</v>
      </c>
      <c r="N29" s="28"/>
      <c r="O29" s="19" t="s">
        <v>288</v>
      </c>
      <c r="P29" s="19" t="s">
        <v>286</v>
      </c>
      <c r="Q29" s="19">
        <v>97813</v>
      </c>
      <c r="R29" s="18" t="s">
        <v>41</v>
      </c>
      <c r="S29" s="18" t="s">
        <v>52</v>
      </c>
      <c r="T29" s="21" t="str">
        <f>VLOOKUP(C29,'[1]TABEL SMA'!$C$8:$D$343,2,0)</f>
        <v>SMA NEGERI 1 TIDORE KEPULAUAN MALUKU UTARA</v>
      </c>
      <c r="U29" s="22" t="str">
        <f>IFERROR(VLOOKUP(Table11[[#This Row],[Nama]],'[1]TABEL BEASISWA'!$B$4:$D$202,2,FALSE),"TIDAK")</f>
        <v>YA</v>
      </c>
      <c r="V29" s="23" t="str">
        <f>IFERROR(VLOOKUP(Table11[[#This Row],[Nama]],'[1]TABEL BEASISWA'!$B$4:$D$202,3,FALSE),"Tidak ada")</f>
        <v>Beasiswa 100%, Keluarga Adhyaksa (Putra Putri Jaksa)</v>
      </c>
      <c r="W29" s="24" t="str">
        <f>IFERROR(VLOOKUP(Table11[[#This Row],[Nama]],'[1]TABEL BEASISWA'!$B$4:$E$202,4,FALSE)," ")</f>
        <v>Angkatan 1</v>
      </c>
      <c r="X29" s="25"/>
      <c r="Y29" s="25"/>
      <c r="Z29" s="26"/>
      <c r="AA29" s="25"/>
      <c r="AB29" s="25"/>
      <c r="AC29" s="130">
        <v>1001001</v>
      </c>
      <c r="AD29" s="130">
        <v>827201</v>
      </c>
      <c r="AE29" s="130"/>
      <c r="AF29" s="130" t="s">
        <v>2346</v>
      </c>
    </row>
    <row r="30" spans="1:32" ht="42">
      <c r="A30" s="10">
        <f t="shared" si="0"/>
        <v>29</v>
      </c>
      <c r="B30" s="11" t="s">
        <v>289</v>
      </c>
      <c r="C30" s="12" t="s">
        <v>290</v>
      </c>
      <c r="D30" s="29" t="s">
        <v>291</v>
      </c>
      <c r="E30" s="13" t="s">
        <v>292</v>
      </c>
      <c r="F30" s="18" t="s">
        <v>67</v>
      </c>
      <c r="G30" s="27" t="s">
        <v>293</v>
      </c>
      <c r="H30" s="12" t="s">
        <v>294</v>
      </c>
      <c r="I30" s="132">
        <v>37321</v>
      </c>
      <c r="J30" s="16" t="s">
        <v>35</v>
      </c>
      <c r="K30" s="17" t="s">
        <v>295</v>
      </c>
      <c r="L30" s="11" t="s">
        <v>60</v>
      </c>
      <c r="M30" s="11" t="s">
        <v>50</v>
      </c>
      <c r="N30" s="28"/>
      <c r="O30" s="19" t="s">
        <v>296</v>
      </c>
      <c r="P30" s="19" t="s">
        <v>297</v>
      </c>
      <c r="Q30" s="19">
        <v>43251</v>
      </c>
      <c r="R30" s="18" t="s">
        <v>41</v>
      </c>
      <c r="S30" s="18" t="s">
        <v>52</v>
      </c>
      <c r="T30" s="21" t="str">
        <f>VLOOKUP(C30,'[1]TABEL SMA'!$C$8:$D$343,2,0)</f>
        <v xml:space="preserve">SMA NEGERI 3 SUKABUMI JAWA BARAT </v>
      </c>
      <c r="U30" s="22" t="str">
        <f>IFERROR(VLOOKUP(Table11[[#This Row],[Nama]],'[1]TABEL BEASISWA'!$B$4:$D$202,2,FALSE),"TIDAK")</f>
        <v>YA</v>
      </c>
      <c r="V30" s="23" t="str">
        <f>IFERROR(VLOOKUP(Table11[[#This Row],[Nama]],'[1]TABEL BEASISWA'!$B$4:$D$202,3,FALSE),"Tidak ada")</f>
        <v>Beasiswa 100%, Keluarga Adhyaksa (Putra Putri Jaksa)</v>
      </c>
      <c r="W30" s="24" t="str">
        <f>IFERROR(VLOOKUP(Table11[[#This Row],[Nama]],'[1]TABEL BEASISWA'!$B$4:$E$202,4,FALSE)," ")</f>
        <v>Angkatan 1</v>
      </c>
      <c r="X30" s="25"/>
      <c r="Y30" s="25"/>
      <c r="Z30" s="26"/>
      <c r="AA30" s="25"/>
      <c r="AB30" s="25"/>
      <c r="AC30" s="130">
        <v>1001001</v>
      </c>
      <c r="AD30" s="130">
        <v>320301</v>
      </c>
      <c r="AE30" s="130">
        <v>3203012002</v>
      </c>
      <c r="AF30" s="130" t="s">
        <v>2346</v>
      </c>
    </row>
    <row r="31" spans="1:32" ht="42">
      <c r="A31" s="10">
        <f t="shared" si="0"/>
        <v>30</v>
      </c>
      <c r="B31" s="11" t="s">
        <v>298</v>
      </c>
      <c r="C31" s="12" t="s">
        <v>299</v>
      </c>
      <c r="D31" s="29" t="s">
        <v>300</v>
      </c>
      <c r="E31" s="13" t="s">
        <v>301</v>
      </c>
      <c r="F31" s="18" t="s">
        <v>32</v>
      </c>
      <c r="G31" s="27" t="s">
        <v>302</v>
      </c>
      <c r="H31" s="12" t="s">
        <v>34</v>
      </c>
      <c r="I31" s="132">
        <v>35187</v>
      </c>
      <c r="J31" s="16" t="s">
        <v>35</v>
      </c>
      <c r="K31" s="17" t="s">
        <v>303</v>
      </c>
      <c r="L31" s="11" t="s">
        <v>79</v>
      </c>
      <c r="M31" s="11" t="s">
        <v>169</v>
      </c>
      <c r="N31" s="28"/>
      <c r="O31" s="19" t="s">
        <v>304</v>
      </c>
      <c r="P31" s="19" t="s">
        <v>135</v>
      </c>
      <c r="Q31" s="19">
        <v>15442</v>
      </c>
      <c r="R31" s="18" t="s">
        <v>41</v>
      </c>
      <c r="S31" s="18" t="s">
        <v>263</v>
      </c>
      <c r="T31" s="21" t="str">
        <f>VLOOKUP(C31,'[1]TABEL SMA'!$C$8:$D$343,2,0)</f>
        <v>SMA NEGERI 4 KOTA TANGERANG SELATAN</v>
      </c>
      <c r="U31" s="22" t="str">
        <f>IFERROR(VLOOKUP(Table11[[#This Row],[Nama]],'[1]TABEL BEASISWA'!$B$4:$D$202,2,FALSE),"TIDAK")</f>
        <v>YA</v>
      </c>
      <c r="V31" s="23" t="str">
        <f>IFERROR(VLOOKUP(Table11[[#This Row],[Nama]],'[1]TABEL BEASISWA'!$B$4:$D$202,3,FALSE),"Tidak ada")</f>
        <v>Beasiswa 100%, Pegawai Kejaksaan</v>
      </c>
      <c r="W31" s="24" t="str">
        <f>IFERROR(VLOOKUP(Table11[[#This Row],[Nama]],'[1]TABEL BEASISWA'!$B$4:$E$202,4,FALSE)," ")</f>
        <v>Angkatan 1</v>
      </c>
      <c r="X31" s="25"/>
      <c r="Y31" s="25"/>
      <c r="Z31" s="26"/>
      <c r="AA31" s="25"/>
      <c r="AB31" s="25"/>
      <c r="AC31" s="130">
        <v>1001001</v>
      </c>
      <c r="AD31" s="130">
        <v>367405</v>
      </c>
      <c r="AE31" s="130">
        <v>3674051002</v>
      </c>
      <c r="AF31" s="130" t="s">
        <v>2346</v>
      </c>
    </row>
    <row r="32" spans="1:32" ht="28">
      <c r="A32" s="10">
        <f t="shared" si="0"/>
        <v>31</v>
      </c>
      <c r="B32" s="11" t="s">
        <v>305</v>
      </c>
      <c r="C32" s="12" t="s">
        <v>306</v>
      </c>
      <c r="D32" s="29" t="s">
        <v>307</v>
      </c>
      <c r="E32" s="13" t="s">
        <v>308</v>
      </c>
      <c r="F32" s="18" t="s">
        <v>32</v>
      </c>
      <c r="G32" s="27" t="s">
        <v>309</v>
      </c>
      <c r="H32" s="12" t="s">
        <v>310</v>
      </c>
      <c r="I32" s="132">
        <v>37770</v>
      </c>
      <c r="J32" s="16" t="s">
        <v>35</v>
      </c>
      <c r="K32" s="17" t="s">
        <v>311</v>
      </c>
      <c r="L32" s="11" t="s">
        <v>60</v>
      </c>
      <c r="M32" s="11" t="s">
        <v>143</v>
      </c>
      <c r="N32" s="18" t="s">
        <v>312</v>
      </c>
      <c r="O32" s="19" t="s">
        <v>312</v>
      </c>
      <c r="P32" s="19" t="s">
        <v>313</v>
      </c>
      <c r="Q32" s="19">
        <v>45151</v>
      </c>
      <c r="R32" s="18" t="s">
        <v>41</v>
      </c>
      <c r="S32" s="18" t="s">
        <v>263</v>
      </c>
      <c r="T32" s="21" t="str">
        <f>VLOOKUP(C32,'[1]TABEL SMA'!$C$8:$D$343,2,0)</f>
        <v>SMA NEGERI 2 CIREBON</v>
      </c>
      <c r="U32" s="22" t="str">
        <f>IFERROR(VLOOKUP(Table11[[#This Row],[Nama]],'[1]TABEL BEASISWA'!$B$4:$D$202,2,FALSE),"TIDAK")</f>
        <v>YA</v>
      </c>
      <c r="V32" s="23" t="str">
        <f>IFERROR(VLOOKUP(Table11[[#This Row],[Nama]],'[1]TABEL BEASISWA'!$B$4:$D$202,3,FALSE),"Tidak ada")</f>
        <v>Beasiswa 100%, Pegawai Kejaksaan</v>
      </c>
      <c r="W32" s="24" t="str">
        <f>IFERROR(VLOOKUP(Table11[[#This Row],[Nama]],'[1]TABEL BEASISWA'!$B$4:$E$202,4,FALSE)," ")</f>
        <v>Angkatan 1</v>
      </c>
      <c r="X32" s="25"/>
      <c r="Y32" s="25"/>
      <c r="Z32" s="26"/>
      <c r="AA32" s="25"/>
      <c r="AB32" s="25"/>
      <c r="AC32" s="130">
        <v>1001001</v>
      </c>
      <c r="AD32" s="130">
        <v>367405</v>
      </c>
      <c r="AE32" s="130">
        <v>3674051002</v>
      </c>
      <c r="AF32" s="130" t="s">
        <v>2346</v>
      </c>
    </row>
    <row r="33" spans="1:32" ht="28">
      <c r="A33" s="10">
        <f t="shared" si="0"/>
        <v>32</v>
      </c>
      <c r="B33" s="11" t="s">
        <v>314</v>
      </c>
      <c r="C33" s="12" t="s">
        <v>315</v>
      </c>
      <c r="D33" s="29" t="s">
        <v>316</v>
      </c>
      <c r="E33" s="13" t="s">
        <v>317</v>
      </c>
      <c r="F33" s="18" t="s">
        <v>32</v>
      </c>
      <c r="G33" s="27" t="s">
        <v>318</v>
      </c>
      <c r="H33" s="12" t="s">
        <v>241</v>
      </c>
      <c r="I33" s="132">
        <v>37262</v>
      </c>
      <c r="J33" s="16" t="s">
        <v>35</v>
      </c>
      <c r="K33" s="17" t="s">
        <v>319</v>
      </c>
      <c r="L33" s="11" t="s">
        <v>320</v>
      </c>
      <c r="M33" s="11" t="s">
        <v>169</v>
      </c>
      <c r="N33" s="28"/>
      <c r="O33" s="19" t="s">
        <v>321</v>
      </c>
      <c r="P33" s="19" t="s">
        <v>321</v>
      </c>
      <c r="Q33" s="19">
        <v>90234</v>
      </c>
      <c r="R33" s="18" t="s">
        <v>41</v>
      </c>
      <c r="S33" s="18" t="s">
        <v>52</v>
      </c>
      <c r="T33" s="21" t="str">
        <f>VLOOKUP(C33,'[1]TABEL SMA'!$C$8:$D$343,2,0)</f>
        <v>SMA NEGERI 12 MAKASSAR</v>
      </c>
      <c r="U33" s="22" t="str">
        <f>IFERROR(VLOOKUP(Table11[[#This Row],[Nama]],'[1]TABEL BEASISWA'!$B$4:$D$202,2,FALSE),"TIDAK")</f>
        <v>YA</v>
      </c>
      <c r="V33" s="23" t="str">
        <f>IFERROR(VLOOKUP(Table11[[#This Row],[Nama]],'[1]TABEL BEASISWA'!$B$4:$D$202,3,FALSE),"Tidak ada")</f>
        <v>Beasiswa 30% Kurang Mampu</v>
      </c>
      <c r="W33" s="24" t="str">
        <f>IFERROR(VLOOKUP(Table11[[#This Row],[Nama]],'[1]TABEL BEASISWA'!$B$4:$E$202,4,FALSE)," ")</f>
        <v>Angkatan 1</v>
      </c>
      <c r="X33" s="25"/>
      <c r="Y33" s="25"/>
      <c r="Z33" s="26"/>
      <c r="AA33" s="25"/>
      <c r="AB33" s="25"/>
      <c r="AC33" s="130">
        <v>1001001</v>
      </c>
      <c r="AD33" s="130">
        <v>737112</v>
      </c>
      <c r="AE33" s="130">
        <v>737112</v>
      </c>
      <c r="AF33" s="130" t="s">
        <v>2346</v>
      </c>
    </row>
    <row r="34" spans="1:32" ht="28">
      <c r="A34" s="10">
        <f t="shared" si="0"/>
        <v>33</v>
      </c>
      <c r="B34" s="11" t="s">
        <v>322</v>
      </c>
      <c r="C34" s="12" t="s">
        <v>323</v>
      </c>
      <c r="D34" s="29" t="s">
        <v>324</v>
      </c>
      <c r="E34" s="13" t="s">
        <v>325</v>
      </c>
      <c r="F34" s="18" t="s">
        <v>32</v>
      </c>
      <c r="G34" s="27" t="s">
        <v>326</v>
      </c>
      <c r="H34" s="12" t="s">
        <v>327</v>
      </c>
      <c r="I34" s="132">
        <v>37319</v>
      </c>
      <c r="J34" s="16" t="s">
        <v>35</v>
      </c>
      <c r="K34" s="17" t="s">
        <v>328</v>
      </c>
      <c r="L34" s="11" t="s">
        <v>329</v>
      </c>
      <c r="M34" s="11" t="s">
        <v>50</v>
      </c>
      <c r="N34" s="28"/>
      <c r="O34" s="19" t="s">
        <v>330</v>
      </c>
      <c r="P34" s="19" t="s">
        <v>331</v>
      </c>
      <c r="Q34" s="19">
        <v>63115</v>
      </c>
      <c r="R34" s="18" t="s">
        <v>41</v>
      </c>
      <c r="S34" s="18" t="s">
        <v>52</v>
      </c>
      <c r="T34" s="21" t="str">
        <f>VLOOKUP(C34,'[1]TABEL SMA'!$C$8:$D$343,2,0)</f>
        <v xml:space="preserve">SMA NEGERI 5 MADIUN </v>
      </c>
      <c r="U34" s="22" t="str">
        <f>IFERROR(VLOOKUP(Table11[[#This Row],[Nama]],'[1]TABEL BEASISWA'!$B$4:$D$202,2,FALSE),"TIDAK")</f>
        <v>YA</v>
      </c>
      <c r="V34" s="23" t="str">
        <f>IFERROR(VLOOKUP(Table11[[#This Row],[Nama]],'[1]TABEL BEASISWA'!$B$4:$D$202,3,FALSE),"Tidak ada")</f>
        <v>Beasiswa 50% Berprestasi-Kurang Mampu</v>
      </c>
      <c r="W34" s="24" t="str">
        <f>IFERROR(VLOOKUP(Table11[[#This Row],[Nama]],'[1]TABEL BEASISWA'!$B$4:$E$202,4,FALSE)," ")</f>
        <v>Angkatan 1</v>
      </c>
      <c r="X34" s="25"/>
      <c r="Y34" s="25"/>
      <c r="Z34" s="26"/>
      <c r="AA34" s="25"/>
      <c r="AB34" s="25"/>
      <c r="AC34" s="130">
        <v>1001001</v>
      </c>
      <c r="AD34" s="130">
        <v>357701</v>
      </c>
      <c r="AE34" s="130">
        <v>3577011001</v>
      </c>
      <c r="AF34" s="130" t="s">
        <v>2346</v>
      </c>
    </row>
    <row r="35" spans="1:32" ht="28">
      <c r="A35" s="10">
        <f t="shared" si="0"/>
        <v>34</v>
      </c>
      <c r="B35" s="11" t="s">
        <v>332</v>
      </c>
      <c r="C35" s="12" t="s">
        <v>333</v>
      </c>
      <c r="D35" s="29" t="s">
        <v>334</v>
      </c>
      <c r="E35" s="13" t="s">
        <v>335</v>
      </c>
      <c r="F35" s="18" t="s">
        <v>32</v>
      </c>
      <c r="G35" s="27" t="s">
        <v>336</v>
      </c>
      <c r="H35" s="12" t="s">
        <v>34</v>
      </c>
      <c r="I35" s="132">
        <v>35584</v>
      </c>
      <c r="J35" s="16" t="s">
        <v>35</v>
      </c>
      <c r="K35" s="17" t="s">
        <v>337</v>
      </c>
      <c r="L35" s="11" t="s">
        <v>61</v>
      </c>
      <c r="M35" s="11" t="s">
        <v>338</v>
      </c>
      <c r="N35" s="28"/>
      <c r="O35" s="19" t="s">
        <v>339</v>
      </c>
      <c r="P35" s="19" t="s">
        <v>340</v>
      </c>
      <c r="Q35" s="19" t="s">
        <v>140</v>
      </c>
      <c r="R35" s="18" t="s">
        <v>41</v>
      </c>
      <c r="S35" s="18" t="s">
        <v>52</v>
      </c>
      <c r="T35" s="21" t="str">
        <f>VLOOKUP(C35,'[1]TABEL SMA'!$C$8:$D$343,2,0)</f>
        <v>SMA NEGERI 12 MAKASSSAR</v>
      </c>
      <c r="U35" s="22" t="str">
        <f>IFERROR(VLOOKUP(Table11[[#This Row],[Nama]],'[1]TABEL BEASISWA'!$B$4:$D$202,2,FALSE),"TIDAK")</f>
        <v>TIDAK</v>
      </c>
      <c r="V35" s="23" t="str">
        <f>IFERROR(VLOOKUP(Table11[[#This Row],[Nama]],'[1]TABEL BEASISWA'!$B$4:$D$202,3,FALSE),"Tidak ada")</f>
        <v>Tidak ada</v>
      </c>
      <c r="W35" s="24" t="str">
        <f>IFERROR(VLOOKUP(Table11[[#This Row],[Nama]],'[1]TABEL BEASISWA'!$B$4:$E$202,4,FALSE)," ")</f>
        <v xml:space="preserve"> </v>
      </c>
      <c r="X35" s="25"/>
      <c r="Y35" s="25"/>
      <c r="Z35" s="26"/>
      <c r="AA35" s="25"/>
      <c r="AB35" s="25"/>
      <c r="AC35" s="130">
        <v>1001001</v>
      </c>
      <c r="AD35" s="130">
        <v>332807</v>
      </c>
      <c r="AE35" s="130">
        <v>3518022009</v>
      </c>
      <c r="AF35" s="130" t="s">
        <v>2346</v>
      </c>
    </row>
    <row r="36" spans="1:32" ht="28">
      <c r="A36" s="10">
        <f t="shared" si="0"/>
        <v>35</v>
      </c>
      <c r="B36" s="11" t="s">
        <v>341</v>
      </c>
      <c r="C36" s="12" t="s">
        <v>342</v>
      </c>
      <c r="D36" s="29" t="s">
        <v>343</v>
      </c>
      <c r="E36" s="13" t="s">
        <v>344</v>
      </c>
      <c r="F36" s="18" t="s">
        <v>67</v>
      </c>
      <c r="G36" s="27" t="s">
        <v>345</v>
      </c>
      <c r="H36" s="12" t="s">
        <v>34</v>
      </c>
      <c r="I36" s="132">
        <v>38074</v>
      </c>
      <c r="J36" s="16" t="s">
        <v>35</v>
      </c>
      <c r="K36" s="17" t="s">
        <v>346</v>
      </c>
      <c r="L36" s="11" t="s">
        <v>79</v>
      </c>
      <c r="M36" s="11" t="s">
        <v>347</v>
      </c>
      <c r="N36" s="28"/>
      <c r="O36" s="19" t="s">
        <v>348</v>
      </c>
      <c r="P36" s="19" t="s">
        <v>349</v>
      </c>
      <c r="Q36" s="19">
        <v>16411</v>
      </c>
      <c r="R36" s="18" t="s">
        <v>41</v>
      </c>
      <c r="S36" s="18" t="s">
        <v>52</v>
      </c>
      <c r="T36" s="21" t="str">
        <f>VLOOKUP(C36,'[1]TABEL SMA'!$C$8:$D$343,2,0)</f>
        <v>SMA PUTRA BANGSA DEPOK</v>
      </c>
      <c r="U36" s="22" t="str">
        <f>IFERROR(VLOOKUP(Table11[[#This Row],[Nama]],'[1]TABEL BEASISWA'!$B$4:$D$202,2,FALSE),"TIDAK")</f>
        <v>YA</v>
      </c>
      <c r="V36" s="23" t="str">
        <f>IFERROR(VLOOKUP(Table11[[#This Row],[Nama]],'[1]TABEL BEASISWA'!$B$4:$D$202,3,FALSE),"Tidak ada")</f>
        <v>Beasiswa 100%, Umum</v>
      </c>
      <c r="W36" s="24" t="str">
        <f>IFERROR(VLOOKUP(Table11[[#This Row],[Nama]],'[1]TABEL BEASISWA'!$B$4:$E$202,4,FALSE)," ")</f>
        <v>Angkatan 1</v>
      </c>
      <c r="X36" s="25"/>
      <c r="Y36" s="25"/>
      <c r="Z36" s="26"/>
      <c r="AA36" s="25"/>
      <c r="AB36" s="25"/>
      <c r="AC36" s="130">
        <v>1001001</v>
      </c>
      <c r="AD36" s="130">
        <v>327605</v>
      </c>
      <c r="AE36" s="130">
        <v>3276051004</v>
      </c>
      <c r="AF36" s="130" t="s">
        <v>2346</v>
      </c>
    </row>
    <row r="37" spans="1:32" ht="28">
      <c r="A37" s="10">
        <f t="shared" si="0"/>
        <v>36</v>
      </c>
      <c r="B37" s="11" t="s">
        <v>350</v>
      </c>
      <c r="C37" s="12" t="s">
        <v>351</v>
      </c>
      <c r="D37" s="29" t="s">
        <v>352</v>
      </c>
      <c r="E37" s="13" t="s">
        <v>353</v>
      </c>
      <c r="F37" s="18" t="s">
        <v>32</v>
      </c>
      <c r="G37" s="27" t="s">
        <v>354</v>
      </c>
      <c r="H37" s="12" t="s">
        <v>34</v>
      </c>
      <c r="I37" s="132">
        <v>36635</v>
      </c>
      <c r="J37" s="16" t="s">
        <v>35</v>
      </c>
      <c r="K37" s="17" t="s">
        <v>355</v>
      </c>
      <c r="L37" s="11" t="s">
        <v>50</v>
      </c>
      <c r="M37" s="11" t="s">
        <v>49</v>
      </c>
      <c r="N37" s="28"/>
      <c r="O37" s="19" t="s">
        <v>356</v>
      </c>
      <c r="P37" s="19" t="s">
        <v>340</v>
      </c>
      <c r="Q37" s="19">
        <v>13410</v>
      </c>
      <c r="R37" s="18" t="s">
        <v>41</v>
      </c>
      <c r="S37" s="18" t="s">
        <v>52</v>
      </c>
      <c r="T37" s="21" t="str">
        <f>VLOOKUP(C37,'[1]TABEL SMA'!$C$8:$D$343,2,0)</f>
        <v>SMA NEGERI 54 JAKARTA</v>
      </c>
      <c r="U37" s="22" t="str">
        <f>IFERROR(VLOOKUP(Table11[[#This Row],[Nama]],'[1]TABEL BEASISWA'!$B$4:$D$202,2,FALSE),"TIDAK")</f>
        <v>YA</v>
      </c>
      <c r="V37" s="23" t="str">
        <f>IFERROR(VLOOKUP(Table11[[#This Row],[Nama]],'[1]TABEL BEASISWA'!$B$4:$D$202,3,FALSE),"Tidak ada")</f>
        <v>Beasiswa 100%, Umum</v>
      </c>
      <c r="W37" s="24" t="str">
        <f>IFERROR(VLOOKUP(Table11[[#This Row],[Nama]],'[1]TABEL BEASISWA'!$B$4:$E$202,4,FALSE)," ")</f>
        <v>Angkatan 1</v>
      </c>
      <c r="X37" s="25"/>
      <c r="Y37" s="25"/>
      <c r="Z37" s="26"/>
      <c r="AA37" s="25"/>
      <c r="AB37" s="25"/>
      <c r="AC37" s="130">
        <v>1001001</v>
      </c>
      <c r="AD37" s="130">
        <v>332807</v>
      </c>
      <c r="AE37" s="130">
        <v>3175031008</v>
      </c>
      <c r="AF37" s="130" t="s">
        <v>2346</v>
      </c>
    </row>
    <row r="38" spans="1:32" ht="42">
      <c r="A38" s="10">
        <f t="shared" si="0"/>
        <v>37</v>
      </c>
      <c r="B38" s="11" t="s">
        <v>357</v>
      </c>
      <c r="C38" s="12" t="s">
        <v>358</v>
      </c>
      <c r="D38" s="29" t="s">
        <v>359</v>
      </c>
      <c r="E38" s="13" t="s">
        <v>360</v>
      </c>
      <c r="F38" s="18" t="s">
        <v>32</v>
      </c>
      <c r="G38" s="27" t="s">
        <v>361</v>
      </c>
      <c r="H38" s="12" t="s">
        <v>362</v>
      </c>
      <c r="I38" s="132">
        <v>38605</v>
      </c>
      <c r="J38" s="16" t="s">
        <v>35</v>
      </c>
      <c r="K38" s="17" t="s">
        <v>363</v>
      </c>
      <c r="L38" s="19" t="s">
        <v>140</v>
      </c>
      <c r="M38" s="19" t="s">
        <v>140</v>
      </c>
      <c r="N38" s="28"/>
      <c r="O38" s="19" t="s">
        <v>362</v>
      </c>
      <c r="P38" s="19" t="s">
        <v>364</v>
      </c>
      <c r="Q38" s="19">
        <v>32155</v>
      </c>
      <c r="R38" s="18" t="s">
        <v>41</v>
      </c>
      <c r="S38" s="18" t="s">
        <v>365</v>
      </c>
      <c r="T38" s="21" t="str">
        <f>VLOOKUP(C38,'[1]TABEL SMA'!$C$8:$D$343,2,0)</f>
        <v>MAN 1 OKU SUMATERA SELATAN</v>
      </c>
      <c r="U38" s="22" t="str">
        <f>IFERROR(VLOOKUP(Table11[[#This Row],[Nama]],'[1]TABEL BEASISWA'!$B$4:$D$202,2,FALSE),"TIDAK")</f>
        <v>YA</v>
      </c>
      <c r="V38" s="23" t="str">
        <f>IFERROR(VLOOKUP(Table11[[#This Row],[Nama]],'[1]TABEL BEASISWA'!$B$4:$D$202,3,FALSE),"Tidak ada")</f>
        <v>Beasiswa 100%, Umum</v>
      </c>
      <c r="W38" s="24" t="str">
        <f>IFERROR(VLOOKUP(Table11[[#This Row],[Nama]],'[1]TABEL BEASISWA'!$B$4:$E$202,4,FALSE)," ")</f>
        <v>Angkatan 1</v>
      </c>
      <c r="X38" s="25"/>
      <c r="Y38" s="25"/>
      <c r="Z38" s="26"/>
      <c r="AA38" s="25"/>
      <c r="AB38" s="25"/>
      <c r="AC38" s="130">
        <v>1001001</v>
      </c>
      <c r="AD38" s="130">
        <v>160108</v>
      </c>
      <c r="AE38" s="130">
        <v>1601082018</v>
      </c>
      <c r="AF38" s="130" t="s">
        <v>2347</v>
      </c>
    </row>
    <row r="39" spans="1:32" ht="28">
      <c r="A39" s="10">
        <f t="shared" si="0"/>
        <v>38</v>
      </c>
      <c r="B39" s="11" t="s">
        <v>366</v>
      </c>
      <c r="C39" s="12" t="s">
        <v>367</v>
      </c>
      <c r="D39" s="29" t="s">
        <v>368</v>
      </c>
      <c r="E39" s="13" t="s">
        <v>369</v>
      </c>
      <c r="F39" s="18" t="s">
        <v>32</v>
      </c>
      <c r="G39" s="27" t="s">
        <v>370</v>
      </c>
      <c r="H39" s="12" t="s">
        <v>34</v>
      </c>
      <c r="I39" s="132">
        <v>37640</v>
      </c>
      <c r="J39" s="16" t="s">
        <v>35</v>
      </c>
      <c r="K39" s="17" t="s">
        <v>371</v>
      </c>
      <c r="L39" s="11" t="s">
        <v>60</v>
      </c>
      <c r="M39" s="11" t="s">
        <v>50</v>
      </c>
      <c r="N39" s="28"/>
      <c r="O39" s="19" t="s">
        <v>125</v>
      </c>
      <c r="P39" s="19" t="s">
        <v>152</v>
      </c>
      <c r="Q39" s="19">
        <v>12440</v>
      </c>
      <c r="R39" s="18" t="s">
        <v>41</v>
      </c>
      <c r="S39" s="18" t="s">
        <v>52</v>
      </c>
      <c r="T39" s="21" t="str">
        <f>VLOOKUP(C39,'[1]TABEL SMA'!$C$8:$D$343,2,0)</f>
        <v xml:space="preserve">SMA NEGERI 9 DEPOK </v>
      </c>
      <c r="U39" s="22" t="str">
        <f>IFERROR(VLOOKUP(Table11[[#This Row],[Nama]],'[1]TABEL BEASISWA'!$B$4:$D$202,2,FALSE),"TIDAK")</f>
        <v>YA</v>
      </c>
      <c r="V39" s="23" t="str">
        <f>IFERROR(VLOOKUP(Table11[[#This Row],[Nama]],'[1]TABEL BEASISWA'!$B$4:$D$202,3,FALSE),"Tidak ada")</f>
        <v>Beasiswa 50%, Berprestasi/Kurang Mampu</v>
      </c>
      <c r="W39" s="24" t="str">
        <f>IFERROR(VLOOKUP(Table11[[#This Row],[Nama]],'[1]TABEL BEASISWA'!$B$4:$E$202,4,FALSE)," ")</f>
        <v>Angkatan 1</v>
      </c>
      <c r="X39" s="25"/>
      <c r="Y39" s="25"/>
      <c r="Z39" s="26"/>
      <c r="AA39" s="25"/>
      <c r="AB39" s="25"/>
      <c r="AC39" s="130">
        <v>1001001</v>
      </c>
      <c r="AD39" s="130">
        <v>317406</v>
      </c>
      <c r="AE39" s="130">
        <v>3174061002</v>
      </c>
      <c r="AF39" s="130" t="s">
        <v>2346</v>
      </c>
    </row>
    <row r="40" spans="1:32" ht="28">
      <c r="A40" s="10">
        <f t="shared" si="0"/>
        <v>39</v>
      </c>
      <c r="B40" s="11" t="s">
        <v>372</v>
      </c>
      <c r="C40" s="12" t="s">
        <v>373</v>
      </c>
      <c r="D40" s="29" t="s">
        <v>374</v>
      </c>
      <c r="E40" s="13" t="s">
        <v>375</v>
      </c>
      <c r="F40" s="18" t="s">
        <v>32</v>
      </c>
      <c r="G40" s="27" t="s">
        <v>376</v>
      </c>
      <c r="H40" s="12" t="s">
        <v>377</v>
      </c>
      <c r="I40" s="132">
        <v>36920</v>
      </c>
      <c r="J40" s="16" t="s">
        <v>35</v>
      </c>
      <c r="K40" s="17" t="s">
        <v>378</v>
      </c>
      <c r="L40" s="11" t="s">
        <v>79</v>
      </c>
      <c r="M40" s="11" t="s">
        <v>79</v>
      </c>
      <c r="N40" s="18" t="s">
        <v>379</v>
      </c>
      <c r="O40" s="19" t="s">
        <v>377</v>
      </c>
      <c r="P40" s="19" t="s">
        <v>380</v>
      </c>
      <c r="Q40" s="19">
        <v>92111</v>
      </c>
      <c r="R40" s="18" t="s">
        <v>41</v>
      </c>
      <c r="S40" s="18" t="s">
        <v>52</v>
      </c>
      <c r="T40" s="21" t="str">
        <f>VLOOKUP(C40,'[1]TABEL SMA'!$C$8:$D$343,2,0)</f>
        <v>SMA NEGERI 1 SUNGGUMINASI</v>
      </c>
      <c r="U40" s="22" t="str">
        <f>IFERROR(VLOOKUP(Table11[[#This Row],[Nama]],'[1]TABEL BEASISWA'!$B$4:$D$202,2,FALSE),"TIDAK")</f>
        <v>YA</v>
      </c>
      <c r="V40" s="23" t="str">
        <f>IFERROR(VLOOKUP(Table11[[#This Row],[Nama]],'[1]TABEL BEASISWA'!$B$4:$D$202,3,FALSE),"Tidak ada")</f>
        <v>Beasiswa 50%, Berprestasi/Kurang Mampu</v>
      </c>
      <c r="W40" s="24" t="str">
        <f>IFERROR(VLOOKUP(Table11[[#This Row],[Nama]],'[1]TABEL BEASISWA'!$B$4:$E$202,4,FALSE)," ")</f>
        <v>Angkatan 1</v>
      </c>
      <c r="X40" s="25"/>
      <c r="Y40" s="25"/>
      <c r="Z40" s="26"/>
      <c r="AA40" s="25"/>
      <c r="AB40" s="25"/>
      <c r="AC40" s="130">
        <v>1001001</v>
      </c>
      <c r="AD40" s="130">
        <v>730608</v>
      </c>
      <c r="AE40" s="130"/>
      <c r="AF40" s="130" t="s">
        <v>2346</v>
      </c>
    </row>
    <row r="41" spans="1:32" ht="28">
      <c r="A41" s="10">
        <f t="shared" si="0"/>
        <v>40</v>
      </c>
      <c r="B41" s="11" t="s">
        <v>381</v>
      </c>
      <c r="C41" s="12" t="s">
        <v>382</v>
      </c>
      <c r="D41" s="29" t="s">
        <v>383</v>
      </c>
      <c r="E41" s="13" t="s">
        <v>384</v>
      </c>
      <c r="F41" s="18" t="s">
        <v>32</v>
      </c>
      <c r="G41" s="27" t="s">
        <v>385</v>
      </c>
      <c r="H41" s="12" t="s">
        <v>294</v>
      </c>
      <c r="I41" s="132">
        <v>29034</v>
      </c>
      <c r="J41" s="16" t="s">
        <v>35</v>
      </c>
      <c r="K41" s="17" t="s">
        <v>386</v>
      </c>
      <c r="L41" s="11" t="s">
        <v>143</v>
      </c>
      <c r="M41" s="11" t="s">
        <v>205</v>
      </c>
      <c r="N41" s="28"/>
      <c r="O41" s="19" t="s">
        <v>387</v>
      </c>
      <c r="P41" s="19" t="s">
        <v>294</v>
      </c>
      <c r="Q41" s="19" t="s">
        <v>140</v>
      </c>
      <c r="R41" s="18" t="s">
        <v>41</v>
      </c>
      <c r="S41" s="18" t="s">
        <v>52</v>
      </c>
      <c r="T41" s="21" t="str">
        <f>VLOOKUP(C41,'[1]TABEL SMA'!$C$8:$D$343,2,0)</f>
        <v>SMU YP-KARYA BANTEN</v>
      </c>
      <c r="U41" s="22" t="str">
        <f>IFERROR(VLOOKUP(Table11[[#This Row],[Nama]],'[1]TABEL BEASISWA'!$B$4:$D$202,2,FALSE),"TIDAK")</f>
        <v>YA</v>
      </c>
      <c r="V41" s="23" t="str">
        <f>IFERROR(VLOOKUP(Table11[[#This Row],[Nama]],'[1]TABEL BEASISWA'!$B$4:$D$202,3,FALSE),"Tidak ada")</f>
        <v>Beasiswa 50%, Berprestasi/Kurang Mampu</v>
      </c>
      <c r="W41" s="24" t="str">
        <f>IFERROR(VLOOKUP(Table11[[#This Row],[Nama]],'[1]TABEL BEASISWA'!$B$4:$E$202,4,FALSE)," ")</f>
        <v>Angkatan 1</v>
      </c>
      <c r="X41" s="25"/>
      <c r="Y41" s="25"/>
      <c r="Z41" s="26"/>
      <c r="AA41" s="25"/>
      <c r="AB41" s="25"/>
      <c r="AC41" s="130">
        <v>1001001</v>
      </c>
      <c r="AD41" s="130">
        <v>367101</v>
      </c>
      <c r="AE41" s="130">
        <v>3671011007</v>
      </c>
      <c r="AF41" s="130" t="s">
        <v>2346</v>
      </c>
    </row>
    <row r="42" spans="1:32" ht="28">
      <c r="A42" s="10">
        <f t="shared" si="0"/>
        <v>41</v>
      </c>
      <c r="B42" s="11" t="s">
        <v>388</v>
      </c>
      <c r="C42" s="12" t="s">
        <v>389</v>
      </c>
      <c r="D42" s="29" t="s">
        <v>390</v>
      </c>
      <c r="E42" s="13" t="s">
        <v>391</v>
      </c>
      <c r="F42" s="18" t="s">
        <v>67</v>
      </c>
      <c r="G42" s="27" t="s">
        <v>392</v>
      </c>
      <c r="H42" s="12" t="s">
        <v>393</v>
      </c>
      <c r="I42" s="132">
        <v>36802</v>
      </c>
      <c r="J42" s="16" t="s">
        <v>97</v>
      </c>
      <c r="K42" s="17" t="s">
        <v>394</v>
      </c>
      <c r="L42" s="11" t="s">
        <v>143</v>
      </c>
      <c r="M42" s="11" t="s">
        <v>60</v>
      </c>
      <c r="N42" s="18" t="s">
        <v>395</v>
      </c>
      <c r="O42" s="19" t="s">
        <v>395</v>
      </c>
      <c r="P42" s="19" t="s">
        <v>395</v>
      </c>
      <c r="Q42" s="19">
        <v>97117</v>
      </c>
      <c r="R42" s="18" t="s">
        <v>41</v>
      </c>
      <c r="S42" s="18" t="s">
        <v>263</v>
      </c>
      <c r="T42" s="21" t="str">
        <f>VLOOKUP(C42,'[1]TABEL SMA'!$C$8:$D$343,2,0)</f>
        <v>SMA NEGERI 12 AMBON</v>
      </c>
      <c r="U42" s="22" t="str">
        <f>IFERROR(VLOOKUP(Table11[[#This Row],[Nama]],'[1]TABEL BEASISWA'!$B$4:$D$202,2,FALSE),"TIDAK")</f>
        <v>YA</v>
      </c>
      <c r="V42" s="23" t="str">
        <f>IFERROR(VLOOKUP(Table11[[#This Row],[Nama]],'[1]TABEL BEASISWA'!$B$4:$D$202,3,FALSE),"Tidak ada")</f>
        <v>Beasiswa 50%, Pegawai Kejaksaan</v>
      </c>
      <c r="W42" s="24" t="str">
        <f>IFERROR(VLOOKUP(Table11[[#This Row],[Nama]],'[1]TABEL BEASISWA'!$B$4:$E$202,4,FALSE)," ")</f>
        <v>Angkatan 1</v>
      </c>
      <c r="X42" s="25"/>
      <c r="Y42" s="25"/>
      <c r="Z42" s="26"/>
      <c r="AA42" s="25"/>
      <c r="AB42" s="25"/>
      <c r="AC42" s="130">
        <v>1001002</v>
      </c>
      <c r="AD42" s="130">
        <v>817101</v>
      </c>
      <c r="AE42" s="130">
        <v>8171</v>
      </c>
      <c r="AF42" s="130" t="s">
        <v>2346</v>
      </c>
    </row>
    <row r="43" spans="1:32" ht="28">
      <c r="A43" s="10">
        <f t="shared" si="0"/>
        <v>42</v>
      </c>
      <c r="B43" s="11" t="s">
        <v>396</v>
      </c>
      <c r="C43" s="12" t="s">
        <v>397</v>
      </c>
      <c r="D43" s="29" t="s">
        <v>398</v>
      </c>
      <c r="E43" s="13" t="s">
        <v>399</v>
      </c>
      <c r="F43" s="18" t="s">
        <v>32</v>
      </c>
      <c r="G43" s="27" t="s">
        <v>400</v>
      </c>
      <c r="H43" s="12" t="s">
        <v>34</v>
      </c>
      <c r="I43" s="132">
        <v>37993</v>
      </c>
      <c r="J43" s="16" t="s">
        <v>35</v>
      </c>
      <c r="K43" s="17" t="s">
        <v>401</v>
      </c>
      <c r="L43" s="11" t="s">
        <v>169</v>
      </c>
      <c r="M43" s="11" t="s">
        <v>60</v>
      </c>
      <c r="N43" s="28"/>
      <c r="O43" s="19" t="s">
        <v>402</v>
      </c>
      <c r="P43" s="19" t="s">
        <v>403</v>
      </c>
      <c r="Q43" s="19">
        <v>12760</v>
      </c>
      <c r="R43" s="18" t="s">
        <v>41</v>
      </c>
      <c r="S43" s="18" t="s">
        <v>52</v>
      </c>
      <c r="T43" s="21" t="str">
        <f>VLOOKUP(C43,'[1]TABEL SMA'!$C$8:$D$343,2,0)</f>
        <v>SMA KEMALA BHAYANGKARI 1</v>
      </c>
      <c r="U43" s="22" t="str">
        <f>IFERROR(VLOOKUP(Table11[[#This Row],[Nama]],'[1]TABEL BEASISWA'!$B$4:$D$202,2,FALSE),"TIDAK")</f>
        <v>YA</v>
      </c>
      <c r="V43" s="23" t="str">
        <f>IFERROR(VLOOKUP(Table11[[#This Row],[Nama]],'[1]TABEL BEASISWA'!$B$4:$D$202,3,FALSE),"Tidak ada")</f>
        <v>Beasiswa 50%, Berprestasi/Kurang Mampu</v>
      </c>
      <c r="W43" s="24" t="str">
        <f>IFERROR(VLOOKUP(Table11[[#This Row],[Nama]],'[1]TABEL BEASISWA'!$B$4:$E$202,4,FALSE)," ")</f>
        <v>Angkatan 1</v>
      </c>
      <c r="X43" s="25"/>
      <c r="Y43" s="25"/>
      <c r="Z43" s="26"/>
      <c r="AA43" s="25"/>
      <c r="AB43" s="25"/>
      <c r="AC43" s="130">
        <v>1001001</v>
      </c>
      <c r="AD43" s="130">
        <v>317408</v>
      </c>
      <c r="AE43" s="130">
        <v>3174081004</v>
      </c>
      <c r="AF43" s="130" t="s">
        <v>2346</v>
      </c>
    </row>
    <row r="44" spans="1:32" ht="28">
      <c r="A44" s="10">
        <f t="shared" si="0"/>
        <v>43</v>
      </c>
      <c r="B44" s="11" t="s">
        <v>404</v>
      </c>
      <c r="C44" s="12" t="s">
        <v>405</v>
      </c>
      <c r="D44" s="29" t="s">
        <v>406</v>
      </c>
      <c r="E44" s="13" t="s">
        <v>407</v>
      </c>
      <c r="F44" s="18" t="s">
        <v>67</v>
      </c>
      <c r="G44" s="27" t="s">
        <v>408</v>
      </c>
      <c r="H44" s="12" t="s">
        <v>409</v>
      </c>
      <c r="I44" s="132">
        <v>37699</v>
      </c>
      <c r="J44" s="16" t="s">
        <v>410</v>
      </c>
      <c r="K44" s="17" t="s">
        <v>411</v>
      </c>
      <c r="L44" s="19" t="s">
        <v>140</v>
      </c>
      <c r="M44" s="19" t="s">
        <v>140</v>
      </c>
      <c r="N44" s="28"/>
      <c r="O44" s="19" t="s">
        <v>412</v>
      </c>
      <c r="P44" s="19" t="s">
        <v>413</v>
      </c>
      <c r="Q44" s="19">
        <v>80117</v>
      </c>
      <c r="R44" s="18" t="s">
        <v>41</v>
      </c>
      <c r="S44" s="18" t="s">
        <v>52</v>
      </c>
      <c r="T44" s="21" t="str">
        <f>VLOOKUP(C44,'[1]TABEL SMA'!$C$8:$D$343,2,0)</f>
        <v>SMA PGRI 2 DENPASAR</v>
      </c>
      <c r="U44" s="22" t="str">
        <f>IFERROR(VLOOKUP(Table11[[#This Row],[Nama]],'[1]TABEL BEASISWA'!$B$4:$D$202,2,FALSE),"TIDAK")</f>
        <v>YA</v>
      </c>
      <c r="V44" s="23" t="str">
        <f>IFERROR(VLOOKUP(Table11[[#This Row],[Nama]],'[1]TABEL BEASISWA'!$B$4:$D$202,3,FALSE),"Tidak ada")</f>
        <v>Beasiswa 50%, Berprestasi/Kurang Mampu</v>
      </c>
      <c r="W44" s="24" t="str">
        <f>IFERROR(VLOOKUP(Table11[[#This Row],[Nama]],'[1]TABEL BEASISWA'!$B$4:$E$202,4,FALSE)," ")</f>
        <v>Angkatan 1</v>
      </c>
      <c r="X44" s="25"/>
      <c r="Y44" s="25"/>
      <c r="Z44" s="26"/>
      <c r="AA44" s="25"/>
      <c r="AB44" s="25"/>
      <c r="AC44" s="130">
        <v>1001003</v>
      </c>
      <c r="AD44" s="130">
        <v>517103</v>
      </c>
      <c r="AE44" s="130">
        <v>5171031010</v>
      </c>
      <c r="AF44" s="130" t="s">
        <v>2346</v>
      </c>
    </row>
    <row r="45" spans="1:32" ht="42">
      <c r="A45" s="10">
        <f t="shared" si="0"/>
        <v>44</v>
      </c>
      <c r="B45" s="11" t="s">
        <v>414</v>
      </c>
      <c r="C45" s="12" t="s">
        <v>415</v>
      </c>
      <c r="D45" s="29" t="s">
        <v>416</v>
      </c>
      <c r="E45" s="13" t="s">
        <v>417</v>
      </c>
      <c r="F45" s="18" t="s">
        <v>67</v>
      </c>
      <c r="G45" s="27" t="s">
        <v>418</v>
      </c>
      <c r="H45" s="12" t="s">
        <v>34</v>
      </c>
      <c r="I45" s="132">
        <v>38157</v>
      </c>
      <c r="J45" s="16" t="s">
        <v>35</v>
      </c>
      <c r="K45" s="17" t="s">
        <v>419</v>
      </c>
      <c r="L45" s="19" t="s">
        <v>140</v>
      </c>
      <c r="M45" s="19" t="s">
        <v>140</v>
      </c>
      <c r="N45" s="28"/>
      <c r="O45" s="19" t="s">
        <v>420</v>
      </c>
      <c r="P45" s="19" t="s">
        <v>421</v>
      </c>
      <c r="Q45" s="19">
        <v>16968</v>
      </c>
      <c r="R45" s="18" t="s">
        <v>41</v>
      </c>
      <c r="S45" s="18" t="s">
        <v>52</v>
      </c>
      <c r="T45" s="21" t="str">
        <f>VLOOKUP(C45,'[1]TABEL SMA'!$C$8:$D$343,2,0)</f>
        <v>SMA YADIKA II JATIRANGGA JAWA BARAT</v>
      </c>
      <c r="U45" s="22" t="str">
        <f>IFERROR(VLOOKUP(Table11[[#This Row],[Nama]],'[1]TABEL BEASISWA'!$B$4:$D$202,2,FALSE),"TIDAK")</f>
        <v>YA</v>
      </c>
      <c r="V45" s="23" t="str">
        <f>IFERROR(VLOOKUP(Table11[[#This Row],[Nama]],'[1]TABEL BEASISWA'!$B$4:$D$202,3,FALSE),"Tidak ada")</f>
        <v>Beasiswa 50%, Berprestasi/Kurang Mampu</v>
      </c>
      <c r="W45" s="24" t="str">
        <f>IFERROR(VLOOKUP(Table11[[#This Row],[Nama]],'[1]TABEL BEASISWA'!$B$4:$E$202,4,FALSE)," ")</f>
        <v>Angkatan 1</v>
      </c>
      <c r="X45" s="25"/>
      <c r="Y45" s="25"/>
      <c r="Z45" s="26"/>
      <c r="AA45" s="25"/>
      <c r="AB45" s="25"/>
      <c r="AC45" s="130">
        <v>1001001</v>
      </c>
      <c r="AD45" s="130">
        <v>320102</v>
      </c>
      <c r="AE45" s="130">
        <v>3201022003</v>
      </c>
      <c r="AF45" s="130" t="s">
        <v>2346</v>
      </c>
    </row>
    <row r="46" spans="1:32" ht="42">
      <c r="A46" s="10">
        <f t="shared" si="0"/>
        <v>45</v>
      </c>
      <c r="B46" s="11" t="s">
        <v>422</v>
      </c>
      <c r="C46" s="12" t="s">
        <v>423</v>
      </c>
      <c r="D46" s="29" t="s">
        <v>424</v>
      </c>
      <c r="E46" s="13" t="s">
        <v>425</v>
      </c>
      <c r="F46" s="18" t="s">
        <v>67</v>
      </c>
      <c r="G46" s="27" t="s">
        <v>426</v>
      </c>
      <c r="H46" s="12" t="s">
        <v>34</v>
      </c>
      <c r="I46" s="132">
        <v>37842</v>
      </c>
      <c r="J46" s="16" t="s">
        <v>35</v>
      </c>
      <c r="K46" s="17" t="s">
        <v>427</v>
      </c>
      <c r="L46" s="19" t="s">
        <v>140</v>
      </c>
      <c r="M46" s="19" t="s">
        <v>140</v>
      </c>
      <c r="N46" s="18" t="s">
        <v>428</v>
      </c>
      <c r="O46" s="19" t="s">
        <v>429</v>
      </c>
      <c r="P46" s="19" t="s">
        <v>430</v>
      </c>
      <c r="Q46" s="19">
        <v>15414</v>
      </c>
      <c r="R46" s="18" t="s">
        <v>41</v>
      </c>
      <c r="S46" s="18" t="s">
        <v>52</v>
      </c>
      <c r="T46" s="21" t="str">
        <f>VLOOKUP(C46,'[1]TABEL SMA'!$C$8:$D$343,2,0)</f>
        <v>SMA NEGERI 9 TANGERANG SELATAN</v>
      </c>
      <c r="U46" s="22" t="str">
        <f>IFERROR(VLOOKUP(Table11[[#This Row],[Nama]],'[1]TABEL BEASISWA'!$B$4:$D$202,2,FALSE),"TIDAK")</f>
        <v>YA</v>
      </c>
      <c r="V46" s="23" t="str">
        <f>IFERROR(VLOOKUP(Table11[[#This Row],[Nama]],'[1]TABEL BEASISWA'!$B$4:$D$202,3,FALSE),"Tidak ada")</f>
        <v>Beasiswa 50%, Berprestasi/Kurang Mampu</v>
      </c>
      <c r="W46" s="24" t="str">
        <f>IFERROR(VLOOKUP(Table11[[#This Row],[Nama]],'[1]TABEL BEASISWA'!$B$4:$E$202,4,FALSE)," ")</f>
        <v>Angkatan 1</v>
      </c>
      <c r="X46" s="25"/>
      <c r="Y46" s="25"/>
      <c r="Z46" s="26"/>
      <c r="AA46" s="25"/>
      <c r="AB46" s="25"/>
      <c r="AC46" s="130">
        <v>1001001</v>
      </c>
      <c r="AD46" s="130"/>
      <c r="AE46" s="130">
        <v>3208102005</v>
      </c>
      <c r="AF46" s="130" t="s">
        <v>2346</v>
      </c>
    </row>
    <row r="47" spans="1:32" ht="28">
      <c r="A47" s="10">
        <f t="shared" si="0"/>
        <v>46</v>
      </c>
      <c r="B47" s="11" t="s">
        <v>431</v>
      </c>
      <c r="C47" s="12" t="s">
        <v>432</v>
      </c>
      <c r="D47" s="29" t="s">
        <v>433</v>
      </c>
      <c r="E47" s="13" t="s">
        <v>434</v>
      </c>
      <c r="F47" s="18" t="s">
        <v>67</v>
      </c>
      <c r="G47" s="27" t="s">
        <v>435</v>
      </c>
      <c r="H47" s="12" t="s">
        <v>34</v>
      </c>
      <c r="I47" s="132">
        <v>36412</v>
      </c>
      <c r="J47" s="16" t="s">
        <v>35</v>
      </c>
      <c r="K47" s="17" t="s">
        <v>436</v>
      </c>
      <c r="L47" s="11" t="s">
        <v>437</v>
      </c>
      <c r="M47" s="11" t="s">
        <v>61</v>
      </c>
      <c r="N47" s="28"/>
      <c r="O47" s="19" t="s">
        <v>438</v>
      </c>
      <c r="P47" s="19" t="s">
        <v>439</v>
      </c>
      <c r="Q47" s="19">
        <v>12550</v>
      </c>
      <c r="R47" s="18" t="s">
        <v>41</v>
      </c>
      <c r="S47" s="18" t="s">
        <v>52</v>
      </c>
      <c r="T47" s="21" t="str">
        <f>VLOOKUP(C47,'[1]TABEL SMA'!$C$8:$D$343,2,0)</f>
        <v>SMA NEGERI 99 JAKARTA TIMUR</v>
      </c>
      <c r="U47" s="22" t="str">
        <f>IFERROR(VLOOKUP(Table11[[#This Row],[Nama]],'[1]TABEL BEASISWA'!$B$4:$D$202,2,FALSE),"TIDAK")</f>
        <v>YA</v>
      </c>
      <c r="V47" s="23" t="str">
        <f>IFERROR(VLOOKUP(Table11[[#This Row],[Nama]],'[1]TABEL BEASISWA'!$B$4:$D$202,3,FALSE),"Tidak ada")</f>
        <v>Beasiswa 50%, Berprestasi/Kurang Mampu</v>
      </c>
      <c r="W47" s="24" t="str">
        <f>IFERROR(VLOOKUP(Table11[[#This Row],[Nama]],'[1]TABEL BEASISWA'!$B$4:$E$202,4,FALSE)," ")</f>
        <v>Angkatan 1</v>
      </c>
      <c r="X47" s="25"/>
      <c r="Y47" s="25"/>
      <c r="Z47" s="26"/>
      <c r="AA47" s="25"/>
      <c r="AB47" s="25"/>
      <c r="AC47" s="130">
        <v>1001001</v>
      </c>
      <c r="AD47" s="130">
        <v>317404</v>
      </c>
      <c r="AE47" s="130">
        <v>3174041004</v>
      </c>
      <c r="AF47" s="130" t="s">
        <v>2346</v>
      </c>
    </row>
    <row r="48" spans="1:32" ht="28">
      <c r="A48" s="10">
        <f t="shared" si="0"/>
        <v>47</v>
      </c>
      <c r="B48" s="11" t="s">
        <v>440</v>
      </c>
      <c r="C48" s="32" t="s">
        <v>441</v>
      </c>
      <c r="D48" s="29" t="s">
        <v>442</v>
      </c>
      <c r="E48" s="11" t="s">
        <v>443</v>
      </c>
      <c r="F48" s="19" t="s">
        <v>32</v>
      </c>
      <c r="G48" s="27" t="s">
        <v>444</v>
      </c>
      <c r="H48" s="12" t="s">
        <v>445</v>
      </c>
      <c r="I48" s="133">
        <v>38330</v>
      </c>
      <c r="J48" s="16" t="s">
        <v>35</v>
      </c>
      <c r="K48" s="17" t="s">
        <v>446</v>
      </c>
      <c r="L48" s="31"/>
      <c r="M48" s="31"/>
      <c r="N48" s="18" t="s">
        <v>447</v>
      </c>
      <c r="O48" s="19" t="s">
        <v>445</v>
      </c>
      <c r="P48" s="19" t="s">
        <v>448</v>
      </c>
      <c r="Q48" s="19">
        <v>22654</v>
      </c>
      <c r="R48" s="18" t="s">
        <v>41</v>
      </c>
      <c r="S48" s="18" t="s">
        <v>52</v>
      </c>
      <c r="T48" s="21" t="str">
        <f>VLOOKUP(C48,'[1]TABEL SMA'!$C$8:$D$343,2,0)</f>
        <v>MAS AL-KAUTSAR AL-AKBAR MEDAN</v>
      </c>
      <c r="U48" s="22" t="str">
        <f>IFERROR(VLOOKUP(Table11[[#This Row],[Nama]],'[1]TABEL BEASISWA'!$B$4:$D$202,2,FALSE),"TIDAK")</f>
        <v>YA</v>
      </c>
      <c r="V48" s="23" t="str">
        <f>IFERROR(VLOOKUP(Table11[[#This Row],[Nama]],'[1]TABEL BEASISWA'!$B$4:$D$202,3,FALSE),"Tidak ada")</f>
        <v>Beasiswa 50%, Berprestasi/Kurang Mampu</v>
      </c>
      <c r="W48" s="24" t="str">
        <f>IFERROR(VLOOKUP(Table11[[#This Row],[Nama]],'[1]TABEL BEASISWA'!$B$4:$E$202,4,FALSE)," ")</f>
        <v>Angkatan 1</v>
      </c>
      <c r="X48" s="25"/>
      <c r="Y48" s="25"/>
      <c r="Z48" s="26"/>
      <c r="AA48" s="25"/>
      <c r="AB48" s="25"/>
      <c r="AC48" s="130">
        <v>1001001</v>
      </c>
      <c r="AD48" s="130">
        <v>120115</v>
      </c>
      <c r="AE48" s="130">
        <v>1201151002</v>
      </c>
      <c r="AF48" s="130" t="s">
        <v>2346</v>
      </c>
    </row>
    <row r="49" spans="1:32" ht="28">
      <c r="A49" s="10">
        <f t="shared" si="0"/>
        <v>48</v>
      </c>
      <c r="B49" s="11" t="s">
        <v>449</v>
      </c>
      <c r="C49" s="32" t="s">
        <v>450</v>
      </c>
      <c r="D49" s="29" t="s">
        <v>451</v>
      </c>
      <c r="E49" s="11" t="s">
        <v>452</v>
      </c>
      <c r="F49" s="19" t="s">
        <v>32</v>
      </c>
      <c r="G49" s="27" t="s">
        <v>453</v>
      </c>
      <c r="H49" s="12" t="s">
        <v>454</v>
      </c>
      <c r="I49" s="133">
        <v>36622</v>
      </c>
      <c r="J49" s="16" t="s">
        <v>35</v>
      </c>
      <c r="K49" s="17" t="s">
        <v>455</v>
      </c>
      <c r="L49" s="11" t="s">
        <v>143</v>
      </c>
      <c r="M49" s="11" t="s">
        <v>49</v>
      </c>
      <c r="N49" s="18" t="s">
        <v>456</v>
      </c>
      <c r="O49" s="19" t="s">
        <v>456</v>
      </c>
      <c r="P49" s="19" t="s">
        <v>457</v>
      </c>
      <c r="Q49" s="19">
        <v>17510</v>
      </c>
      <c r="R49" s="18" t="s">
        <v>41</v>
      </c>
      <c r="S49" s="18" t="s">
        <v>458</v>
      </c>
      <c r="T49" s="21" t="str">
        <f>VLOOKUP(C49,'[1]TABEL SMA'!$C$8:$D$343,2,0)</f>
        <v>SMA NEGERI 2 TAMBUN SELATAN</v>
      </c>
      <c r="U49" s="22" t="str">
        <f>IFERROR(VLOOKUP(Table11[[#This Row],[Nama]],'[1]TABEL BEASISWA'!$B$4:$D$202,2,FALSE),"TIDAK")</f>
        <v>YA</v>
      </c>
      <c r="V49" s="23" t="str">
        <f>IFERROR(VLOOKUP(Table11[[#This Row],[Nama]],'[1]TABEL BEASISWA'!$B$4:$D$202,3,FALSE),"Tidak ada")</f>
        <v>Beasiswa 50%, Berprestasi/Kurang Mampu</v>
      </c>
      <c r="W49" s="24" t="str">
        <f>IFERROR(VLOOKUP(Table11[[#This Row],[Nama]],'[1]TABEL BEASISWA'!$B$4:$E$202,4,FALSE)," ")</f>
        <v>Angkatan 1</v>
      </c>
      <c r="X49" s="25"/>
      <c r="Y49" s="25"/>
      <c r="Z49" s="26"/>
      <c r="AA49" s="25"/>
      <c r="AB49" s="25"/>
      <c r="AC49" s="130">
        <v>1001001</v>
      </c>
      <c r="AD49" s="130">
        <v>321606</v>
      </c>
      <c r="AE49" s="130"/>
      <c r="AF49" s="130" t="s">
        <v>2348</v>
      </c>
    </row>
    <row r="50" spans="1:32" ht="28">
      <c r="A50" s="10">
        <f t="shared" si="0"/>
        <v>49</v>
      </c>
      <c r="B50" s="11" t="s">
        <v>459</v>
      </c>
      <c r="C50" s="32" t="s">
        <v>460</v>
      </c>
      <c r="D50" s="29" t="s">
        <v>461</v>
      </c>
      <c r="E50" s="11" t="s">
        <v>462</v>
      </c>
      <c r="F50" s="19" t="s">
        <v>32</v>
      </c>
      <c r="G50" s="27" t="s">
        <v>463</v>
      </c>
      <c r="H50" s="12" t="s">
        <v>34</v>
      </c>
      <c r="I50" s="133">
        <v>36688</v>
      </c>
      <c r="J50" s="16" t="s">
        <v>35</v>
      </c>
      <c r="K50" s="17" t="s">
        <v>464</v>
      </c>
      <c r="L50" s="31"/>
      <c r="M50" s="31"/>
      <c r="N50" s="18" t="s">
        <v>465</v>
      </c>
      <c r="O50" s="19" t="s">
        <v>465</v>
      </c>
      <c r="P50" s="19" t="s">
        <v>439</v>
      </c>
      <c r="Q50" s="19">
        <v>12510</v>
      </c>
      <c r="R50" s="18" t="s">
        <v>41</v>
      </c>
      <c r="S50" s="18" t="s">
        <v>263</v>
      </c>
      <c r="T50" s="21" t="str">
        <f>VLOOKUP(C50,'[1]TABEL SMA'!$C$8:$D$343,2,0)</f>
        <v>SMK PEMBANGUNAN JAYA - YAKAPI</v>
      </c>
      <c r="U50" s="22" t="str">
        <f>IFERROR(VLOOKUP(Table11[[#This Row],[Nama]],'[1]TABEL BEASISWA'!$B$4:$D$202,2,FALSE),"TIDAK")</f>
        <v>YA</v>
      </c>
      <c r="V50" s="23" t="str">
        <f>IFERROR(VLOOKUP(Table11[[#This Row],[Nama]],'[1]TABEL BEASISWA'!$B$4:$D$202,3,FALSE),"Tidak ada")</f>
        <v>Beasiswa 50%, Pegawai Kejaksaan</v>
      </c>
      <c r="W50" s="24" t="str">
        <f>IFERROR(VLOOKUP(Table11[[#This Row],[Nama]],'[1]TABEL BEASISWA'!$B$4:$E$202,4,FALSE)," ")</f>
        <v>Angkatan 1</v>
      </c>
      <c r="X50" s="25"/>
      <c r="Y50" s="25"/>
      <c r="Z50" s="26"/>
      <c r="AA50" s="25"/>
      <c r="AB50" s="25"/>
      <c r="AC50" s="130">
        <v>1001001</v>
      </c>
      <c r="AD50" s="130">
        <v>317404</v>
      </c>
      <c r="AE50" s="130">
        <v>3174041006</v>
      </c>
      <c r="AF50" s="130" t="s">
        <v>2346</v>
      </c>
    </row>
    <row r="51" spans="1:32" ht="28">
      <c r="A51" s="10">
        <f t="shared" si="0"/>
        <v>50</v>
      </c>
      <c r="B51" s="11" t="s">
        <v>466</v>
      </c>
      <c r="C51" s="32" t="s">
        <v>467</v>
      </c>
      <c r="D51" s="29" t="s">
        <v>468</v>
      </c>
      <c r="E51" s="11" t="s">
        <v>469</v>
      </c>
      <c r="F51" s="18" t="s">
        <v>32</v>
      </c>
      <c r="G51" s="27" t="s">
        <v>470</v>
      </c>
      <c r="H51" s="12" t="s">
        <v>34</v>
      </c>
      <c r="I51" s="133">
        <v>35050</v>
      </c>
      <c r="J51" s="16" t="s">
        <v>35</v>
      </c>
      <c r="K51" s="17" t="s">
        <v>471</v>
      </c>
      <c r="L51" s="11" t="s">
        <v>61</v>
      </c>
      <c r="M51" s="11" t="s">
        <v>49</v>
      </c>
      <c r="N51" s="18" t="s">
        <v>472</v>
      </c>
      <c r="O51" s="19" t="s">
        <v>472</v>
      </c>
      <c r="P51" s="19" t="s">
        <v>473</v>
      </c>
      <c r="Q51" s="19">
        <v>10320</v>
      </c>
      <c r="R51" s="18" t="s">
        <v>41</v>
      </c>
      <c r="S51" s="18" t="s">
        <v>263</v>
      </c>
      <c r="T51" s="21" t="str">
        <f>VLOOKUP(C51,'[1]TABEL SMA'!$C$8:$D$343,2,0)</f>
        <v>SATYA BHAKTI II DKI JAKARTA</v>
      </c>
      <c r="U51" s="22" t="str">
        <f>IFERROR(VLOOKUP(Table11[[#This Row],[Nama]],'[1]TABEL BEASISWA'!$B$4:$D$202,2,FALSE),"TIDAK")</f>
        <v>YA</v>
      </c>
      <c r="V51" s="23" t="str">
        <f>IFERROR(VLOOKUP(Table11[[#This Row],[Nama]],'[1]TABEL BEASISWA'!$B$4:$D$202,3,FALSE),"Tidak ada")</f>
        <v>Beasiswa 50%, Pegawai Kejaksaan</v>
      </c>
      <c r="W51" s="24" t="str">
        <f>IFERROR(VLOOKUP(Table11[[#This Row],[Nama]],'[1]TABEL BEASISWA'!$B$4:$E$202,4,FALSE)," ")</f>
        <v>Angkatan 1</v>
      </c>
      <c r="X51" s="25"/>
      <c r="Y51" s="25"/>
      <c r="Z51" s="26"/>
      <c r="AA51" s="25"/>
      <c r="AB51" s="25"/>
      <c r="AC51" s="130">
        <v>1001001</v>
      </c>
      <c r="AD51" s="130"/>
      <c r="AE51" s="130"/>
      <c r="AF51" s="130" t="s">
        <v>2346</v>
      </c>
    </row>
    <row r="52" spans="1:32" ht="28">
      <c r="A52" s="10">
        <f t="shared" si="0"/>
        <v>51</v>
      </c>
      <c r="B52" s="11" t="s">
        <v>474</v>
      </c>
      <c r="C52" s="32" t="s">
        <v>475</v>
      </c>
      <c r="D52" s="29" t="s">
        <v>476</v>
      </c>
      <c r="E52" s="11" t="s">
        <v>477</v>
      </c>
      <c r="F52" s="18" t="s">
        <v>32</v>
      </c>
      <c r="G52" s="27" t="s">
        <v>478</v>
      </c>
      <c r="H52" s="12" t="s">
        <v>34</v>
      </c>
      <c r="I52" s="133">
        <v>36466</v>
      </c>
      <c r="J52" s="16" t="s">
        <v>35</v>
      </c>
      <c r="K52" s="17" t="s">
        <v>479</v>
      </c>
      <c r="L52" s="11" t="s">
        <v>50</v>
      </c>
      <c r="M52" s="11" t="s">
        <v>480</v>
      </c>
      <c r="N52" s="18" t="s">
        <v>439</v>
      </c>
      <c r="O52" s="19" t="s">
        <v>439</v>
      </c>
      <c r="P52" s="19" t="s">
        <v>439</v>
      </c>
      <c r="Q52" s="19">
        <v>12520</v>
      </c>
      <c r="R52" s="18" t="s">
        <v>41</v>
      </c>
      <c r="S52" s="18" t="s">
        <v>52</v>
      </c>
      <c r="T52" s="21" t="str">
        <f>VLOOKUP(C52,'[1]TABEL SMA'!$C$8:$D$343,2,0)</f>
        <v>SMK YAPIMDA JAKARTA SELATAN</v>
      </c>
      <c r="U52" s="22" t="str">
        <f>IFERROR(VLOOKUP(Table11[[#This Row],[Nama]],'[1]TABEL BEASISWA'!$B$4:$D$202,2,FALSE),"TIDAK")</f>
        <v>YA</v>
      </c>
      <c r="V52" s="23" t="str">
        <f>IFERROR(VLOOKUP(Table11[[#This Row],[Nama]],'[1]TABEL BEASISWA'!$B$4:$D$202,3,FALSE),"Tidak ada")</f>
        <v>Beasiswa 50%, Berprestasi/Kurang Mampu</v>
      </c>
      <c r="W52" s="24" t="str">
        <f>IFERROR(VLOOKUP(Table11[[#This Row],[Nama]],'[1]TABEL BEASISWA'!$B$4:$E$202,4,FALSE)," ")</f>
        <v>Angkatan 1</v>
      </c>
      <c r="X52" s="25"/>
      <c r="Y52" s="25"/>
      <c r="Z52" s="26"/>
      <c r="AA52" s="25"/>
      <c r="AB52" s="25"/>
      <c r="AC52" s="130">
        <v>1001001</v>
      </c>
      <c r="AD52" s="130">
        <v>317404</v>
      </c>
      <c r="AE52" s="130">
        <v>3174041001</v>
      </c>
      <c r="AF52" s="130" t="s">
        <v>2346</v>
      </c>
    </row>
    <row r="53" spans="1:32" ht="28">
      <c r="A53" s="10">
        <f t="shared" si="0"/>
        <v>52</v>
      </c>
      <c r="B53" s="11" t="s">
        <v>481</v>
      </c>
      <c r="C53" s="33" t="s">
        <v>482</v>
      </c>
      <c r="D53" s="29" t="s">
        <v>483</v>
      </c>
      <c r="E53" s="11" t="s">
        <v>484</v>
      </c>
      <c r="F53" s="19" t="s">
        <v>32</v>
      </c>
      <c r="G53" s="27" t="s">
        <v>485</v>
      </c>
      <c r="H53" s="12" t="s">
        <v>486</v>
      </c>
      <c r="I53" s="133">
        <v>35341</v>
      </c>
      <c r="J53" s="16" t="s">
        <v>35</v>
      </c>
      <c r="K53" s="17" t="s">
        <v>487</v>
      </c>
      <c r="L53" s="11" t="s">
        <v>488</v>
      </c>
      <c r="M53" s="11" t="s">
        <v>489</v>
      </c>
      <c r="N53" s="18" t="s">
        <v>490</v>
      </c>
      <c r="O53" s="19" t="s">
        <v>490</v>
      </c>
      <c r="P53" s="19" t="s">
        <v>491</v>
      </c>
      <c r="Q53" s="19">
        <v>30154</v>
      </c>
      <c r="R53" s="18" t="s">
        <v>41</v>
      </c>
      <c r="S53" s="18" t="s">
        <v>263</v>
      </c>
      <c r="T53" s="21" t="str">
        <f>VLOOKUP(C53,'[1]TABEL SMA'!$C$8:$D$343,2,0)</f>
        <v>SMK UTAMA BAKTI PALEMBANG</v>
      </c>
      <c r="U53" s="22" t="str">
        <f>IFERROR(VLOOKUP(Table11[[#This Row],[Nama]],'[1]TABEL BEASISWA'!$B$4:$D$202,2,FALSE),"TIDAK")</f>
        <v>YA</v>
      </c>
      <c r="V53" s="23" t="str">
        <f>IFERROR(VLOOKUP(Table11[[#This Row],[Nama]],'[1]TABEL BEASISWA'!$B$4:$D$202,3,FALSE),"Tidak ada")</f>
        <v>Beasiswa 50%, Pegawai Kejaksaan</v>
      </c>
      <c r="W53" s="24" t="str">
        <f>IFERROR(VLOOKUP(Table11[[#This Row],[Nama]],'[1]TABEL BEASISWA'!$B$4:$E$202,4,FALSE)," ")</f>
        <v>Angkatan 1</v>
      </c>
      <c r="X53" s="25"/>
      <c r="Y53" s="25"/>
      <c r="Z53" s="26"/>
      <c r="AA53" s="25"/>
      <c r="AB53" s="25"/>
      <c r="AC53" s="130">
        <v>1001001</v>
      </c>
      <c r="AD53" s="130"/>
      <c r="AE53" s="130"/>
      <c r="AF53" s="130" t="s">
        <v>2346</v>
      </c>
    </row>
    <row r="54" spans="1:32" ht="28">
      <c r="A54" s="10">
        <f t="shared" si="0"/>
        <v>53</v>
      </c>
      <c r="B54" s="11" t="s">
        <v>492</v>
      </c>
      <c r="C54" s="33" t="s">
        <v>493</v>
      </c>
      <c r="D54" s="29" t="s">
        <v>494</v>
      </c>
      <c r="E54" s="11" t="s">
        <v>495</v>
      </c>
      <c r="F54" s="19" t="s">
        <v>32</v>
      </c>
      <c r="G54" s="27" t="s">
        <v>496</v>
      </c>
      <c r="H54" s="12" t="s">
        <v>497</v>
      </c>
      <c r="I54" s="133">
        <v>36690</v>
      </c>
      <c r="J54" s="16" t="s">
        <v>35</v>
      </c>
      <c r="K54" s="17" t="s">
        <v>498</v>
      </c>
      <c r="L54" s="31"/>
      <c r="M54" s="31"/>
      <c r="N54" s="18" t="s">
        <v>497</v>
      </c>
      <c r="O54" s="19" t="s">
        <v>497</v>
      </c>
      <c r="P54" s="19" t="s">
        <v>499</v>
      </c>
      <c r="Q54" s="19">
        <v>34125</v>
      </c>
      <c r="R54" s="18" t="s">
        <v>41</v>
      </c>
      <c r="S54" s="18" t="s">
        <v>263</v>
      </c>
      <c r="T54" s="21" t="str">
        <f>VLOOKUP(C54,'[1]TABEL SMA'!$C$8:$D$343,2,0)</f>
        <v>SMA NEGERI 4 METRO</v>
      </c>
      <c r="U54" s="22" t="str">
        <f>IFERROR(VLOOKUP(Table11[[#This Row],[Nama]],'[1]TABEL BEASISWA'!$B$4:$D$202,2,FALSE),"TIDAK")</f>
        <v>YA</v>
      </c>
      <c r="V54" s="23" t="str">
        <f>IFERROR(VLOOKUP(Table11[[#This Row],[Nama]],'[1]TABEL BEASISWA'!$B$4:$D$202,3,FALSE),"Tidak ada")</f>
        <v>Beasiswa 50%, Pegawai Kejaksaan</v>
      </c>
      <c r="W54" s="24" t="str">
        <f>IFERROR(VLOOKUP(Table11[[#This Row],[Nama]],'[1]TABEL BEASISWA'!$B$4:$E$202,4,FALSE)," ")</f>
        <v>Angkatan 1</v>
      </c>
      <c r="X54" s="25"/>
      <c r="Y54" s="25"/>
      <c r="Z54" s="26"/>
      <c r="AA54" s="25"/>
      <c r="AB54" s="25"/>
      <c r="AC54" s="130">
        <v>1001001</v>
      </c>
      <c r="AD54" s="130">
        <v>187203</v>
      </c>
      <c r="AE54" s="130"/>
      <c r="AF54" s="130" t="s">
        <v>2346</v>
      </c>
    </row>
    <row r="55" spans="1:32" ht="28">
      <c r="A55" s="10">
        <f t="shared" si="0"/>
        <v>54</v>
      </c>
      <c r="B55" s="11" t="s">
        <v>500</v>
      </c>
      <c r="C55" s="34" t="s">
        <v>501</v>
      </c>
      <c r="D55" s="29" t="s">
        <v>502</v>
      </c>
      <c r="E55" s="11" t="s">
        <v>503</v>
      </c>
      <c r="F55" s="19" t="s">
        <v>32</v>
      </c>
      <c r="G55" s="27" t="s">
        <v>504</v>
      </c>
      <c r="H55" s="12" t="s">
        <v>505</v>
      </c>
      <c r="I55" s="132">
        <v>37306</v>
      </c>
      <c r="J55" s="16" t="s">
        <v>35</v>
      </c>
      <c r="K55" s="17" t="s">
        <v>506</v>
      </c>
      <c r="L55" s="19">
        <v>10</v>
      </c>
      <c r="M55" s="19">
        <v>20</v>
      </c>
      <c r="N55" s="28"/>
      <c r="O55" s="19" t="s">
        <v>507</v>
      </c>
      <c r="P55" s="19" t="s">
        <v>508</v>
      </c>
      <c r="Q55" s="19">
        <v>17131</v>
      </c>
      <c r="R55" s="18" t="s">
        <v>41</v>
      </c>
      <c r="S55" s="18" t="s">
        <v>52</v>
      </c>
      <c r="T55" s="21" t="str">
        <f>VLOOKUP(C55,'[1]TABEL SMA'!$C$8:$D$343,2,0)</f>
        <v>SMA TAMAN HARAPAN BEKASI</v>
      </c>
      <c r="U55" s="22" t="str">
        <f>IFERROR(VLOOKUP(Table11[[#This Row],[Nama]],'[1]TABEL BEASISWA'!$B$4:$D$202,2,FALSE),"TIDAK")</f>
        <v>TIDAK</v>
      </c>
      <c r="V55" s="23" t="str">
        <f>IFERROR(VLOOKUP(Table11[[#This Row],[Nama]],'[1]TABEL BEASISWA'!$B$4:$D$202,3,FALSE),"Tidak ada")</f>
        <v>Tidak ada</v>
      </c>
      <c r="W55" s="24" t="str">
        <f>IFERROR(VLOOKUP(Table11[[#This Row],[Nama]],'[1]TABEL BEASISWA'!$B$4:$E$202,4,FALSE)," ")</f>
        <v xml:space="preserve"> </v>
      </c>
      <c r="X55" s="25"/>
      <c r="Y55" s="25"/>
      <c r="Z55" s="26"/>
      <c r="AA55" s="25"/>
      <c r="AB55" s="25"/>
      <c r="AC55" s="130">
        <v>1001001</v>
      </c>
      <c r="AD55" s="130"/>
      <c r="AE55" s="130"/>
      <c r="AF55" s="130" t="s">
        <v>2346</v>
      </c>
    </row>
    <row r="56" spans="1:32" ht="28">
      <c r="A56" s="10">
        <f t="shared" si="0"/>
        <v>55</v>
      </c>
      <c r="B56" s="11" t="s">
        <v>509</v>
      </c>
      <c r="C56" s="34" t="s">
        <v>510</v>
      </c>
      <c r="D56" s="29" t="s">
        <v>511</v>
      </c>
      <c r="E56" s="11" t="s">
        <v>509</v>
      </c>
      <c r="F56" s="19" t="s">
        <v>32</v>
      </c>
      <c r="G56" s="27" t="s">
        <v>512</v>
      </c>
      <c r="H56" s="12" t="s">
        <v>486</v>
      </c>
      <c r="I56" s="133">
        <v>26877</v>
      </c>
      <c r="J56" s="16" t="s">
        <v>35</v>
      </c>
      <c r="K56" s="17"/>
      <c r="L56" s="31"/>
      <c r="M56" s="31"/>
      <c r="N56" s="18" t="s">
        <v>513</v>
      </c>
      <c r="O56" s="19" t="s">
        <v>513</v>
      </c>
      <c r="P56" s="19" t="s">
        <v>514</v>
      </c>
      <c r="Q56" s="19">
        <v>15224</v>
      </c>
      <c r="R56" s="18" t="s">
        <v>41</v>
      </c>
      <c r="S56" s="18" t="s">
        <v>52</v>
      </c>
      <c r="T56" s="21" t="str">
        <f>VLOOKUP(C56,'[1]TABEL SMA'!$C$8:$D$343,2,0)</f>
        <v>SMA XAVERIUS 1 PALEMBANG</v>
      </c>
      <c r="U56" s="22" t="str">
        <f>IFERROR(VLOOKUP(Table11[[#This Row],[Nama]],'[1]TABEL BEASISWA'!$B$4:$D$202,2,FALSE),"TIDAK")</f>
        <v>TIDAK</v>
      </c>
      <c r="V56" s="23" t="str">
        <f>IFERROR(VLOOKUP(Table11[[#This Row],[Nama]],'[1]TABEL BEASISWA'!$B$4:$D$202,3,FALSE),"Tidak ada")</f>
        <v>Tidak ada</v>
      </c>
      <c r="W56" s="24" t="str">
        <f>IFERROR(VLOOKUP(Table11[[#This Row],[Nama]],'[1]TABEL BEASISWA'!$B$4:$E$202,4,FALSE)," ")</f>
        <v xml:space="preserve"> </v>
      </c>
      <c r="X56" s="25"/>
      <c r="Y56" s="25"/>
      <c r="Z56" s="26"/>
      <c r="AA56" s="25"/>
      <c r="AB56" s="25"/>
      <c r="AC56" s="130">
        <v>1001001</v>
      </c>
      <c r="AD56" s="130"/>
      <c r="AE56" s="130"/>
      <c r="AF56" s="130" t="s">
        <v>2346</v>
      </c>
    </row>
    <row r="57" spans="1:32" ht="28">
      <c r="A57" s="10">
        <f t="shared" si="0"/>
        <v>56</v>
      </c>
      <c r="B57" s="11" t="s">
        <v>515</v>
      </c>
      <c r="C57" s="34" t="s">
        <v>516</v>
      </c>
      <c r="D57" s="29" t="s">
        <v>517</v>
      </c>
      <c r="E57" s="19">
        <v>9979217214</v>
      </c>
      <c r="F57" s="19" t="s">
        <v>32</v>
      </c>
      <c r="G57" s="27" t="s">
        <v>518</v>
      </c>
      <c r="H57" s="12" t="s">
        <v>34</v>
      </c>
      <c r="I57" s="133">
        <v>35465</v>
      </c>
      <c r="J57" s="16" t="s">
        <v>35</v>
      </c>
      <c r="K57" s="17" t="s">
        <v>519</v>
      </c>
      <c r="L57" s="31"/>
      <c r="M57" s="31"/>
      <c r="N57" s="18" t="s">
        <v>520</v>
      </c>
      <c r="O57" s="19" t="s">
        <v>520</v>
      </c>
      <c r="P57" s="19" t="s">
        <v>126</v>
      </c>
      <c r="Q57" s="19">
        <v>12450</v>
      </c>
      <c r="R57" s="18" t="s">
        <v>41</v>
      </c>
      <c r="S57" s="18" t="s">
        <v>52</v>
      </c>
      <c r="T57" s="21" t="str">
        <f>VLOOKUP(C57,'[1]TABEL SMA'!$C$8:$D$343,2,0)</f>
        <v>GRAFIKA YAYASAN LEKTUR</v>
      </c>
      <c r="U57" s="22" t="str">
        <f>IFERROR(VLOOKUP(Table11[[#This Row],[Nama]],'[1]TABEL BEASISWA'!$B$4:$D$202,2,FALSE),"TIDAK")</f>
        <v>YA</v>
      </c>
      <c r="V57" s="23" t="str">
        <f>IFERROR(VLOOKUP(Table11[[#This Row],[Nama]],'[1]TABEL BEASISWA'!$B$4:$D$202,3,FALSE),"Tidak ada")</f>
        <v>Beasiswa 100%, Umum</v>
      </c>
      <c r="W57" s="24" t="str">
        <f>IFERROR(VLOOKUP(Table11[[#This Row],[Nama]],'[1]TABEL BEASISWA'!$B$4:$E$202,4,FALSE)," ")</f>
        <v>Angkatan 1</v>
      </c>
      <c r="X57" s="25"/>
      <c r="Y57" s="25"/>
      <c r="Z57" s="26"/>
      <c r="AA57" s="25"/>
      <c r="AB57" s="25"/>
      <c r="AC57" s="130">
        <v>1001001</v>
      </c>
      <c r="AD57" s="130">
        <v>317406</v>
      </c>
      <c r="AE57" s="130">
        <v>3174061003</v>
      </c>
      <c r="AF57" s="130" t="s">
        <v>2346</v>
      </c>
    </row>
    <row r="58" spans="1:32" ht="28">
      <c r="A58" s="10">
        <f t="shared" si="0"/>
        <v>57</v>
      </c>
      <c r="B58" s="11" t="s">
        <v>521</v>
      </c>
      <c r="C58" s="34" t="s">
        <v>522</v>
      </c>
      <c r="D58" s="29" t="s">
        <v>523</v>
      </c>
      <c r="E58" s="19">
        <v>3349064</v>
      </c>
      <c r="F58" s="19" t="s">
        <v>67</v>
      </c>
      <c r="G58" s="27" t="s">
        <v>524</v>
      </c>
      <c r="H58" s="12" t="s">
        <v>34</v>
      </c>
      <c r="I58" s="133">
        <v>36831</v>
      </c>
      <c r="J58" s="16" t="s">
        <v>35</v>
      </c>
      <c r="K58" s="17" t="s">
        <v>525</v>
      </c>
      <c r="L58" s="31"/>
      <c r="M58" s="31"/>
      <c r="N58" s="18" t="s">
        <v>526</v>
      </c>
      <c r="O58" s="19" t="s">
        <v>527</v>
      </c>
      <c r="P58" s="19" t="s">
        <v>526</v>
      </c>
      <c r="Q58" s="19">
        <v>17421</v>
      </c>
      <c r="R58" s="18" t="s">
        <v>41</v>
      </c>
      <c r="S58" s="18" t="s">
        <v>52</v>
      </c>
      <c r="T58" s="21" t="str">
        <f>VLOOKUP(C58,'[1]TABEL SMA'!$C$8:$D$343,2,0)</f>
        <v>SMK NEGERI 4 BEKASI</v>
      </c>
      <c r="U58" s="22" t="str">
        <f>IFERROR(VLOOKUP(Table11[[#This Row],[Nama]],'[1]TABEL BEASISWA'!$B$4:$D$202,2,FALSE),"TIDAK")</f>
        <v>YA</v>
      </c>
      <c r="V58" s="23" t="str">
        <f>IFERROR(VLOOKUP(Table11[[#This Row],[Nama]],'[1]TABEL BEASISWA'!$B$4:$D$202,3,FALSE),"Tidak ada")</f>
        <v>Beasiswa 100%, Umum</v>
      </c>
      <c r="W58" s="24" t="str">
        <f>IFERROR(VLOOKUP(Table11[[#This Row],[Nama]],'[1]TABEL BEASISWA'!$B$4:$E$202,4,FALSE)," ")</f>
        <v>Angkatan 1</v>
      </c>
      <c r="X58" s="25"/>
      <c r="Y58" s="25"/>
      <c r="Z58" s="26"/>
      <c r="AA58" s="25"/>
      <c r="AB58" s="25"/>
      <c r="AC58" s="130">
        <v>1001001</v>
      </c>
      <c r="AD58" s="130">
        <v>327509</v>
      </c>
      <c r="AE58" s="130">
        <v>3275091003</v>
      </c>
      <c r="AF58" s="130" t="s">
        <v>2346</v>
      </c>
    </row>
    <row r="59" spans="1:32" ht="28">
      <c r="A59" s="10">
        <f t="shared" si="0"/>
        <v>58</v>
      </c>
      <c r="B59" s="11" t="s">
        <v>528</v>
      </c>
      <c r="C59" s="34" t="s">
        <v>529</v>
      </c>
      <c r="D59" s="35" t="s">
        <v>530</v>
      </c>
      <c r="E59" s="19">
        <v>1718070081</v>
      </c>
      <c r="F59" s="19" t="s">
        <v>32</v>
      </c>
      <c r="G59" s="27" t="s">
        <v>531</v>
      </c>
      <c r="H59" s="12" t="s">
        <v>532</v>
      </c>
      <c r="I59" s="133">
        <v>37619</v>
      </c>
      <c r="J59" s="16" t="s">
        <v>35</v>
      </c>
      <c r="K59" s="17" t="s">
        <v>533</v>
      </c>
      <c r="L59" s="31"/>
      <c r="M59" s="31"/>
      <c r="N59" s="18" t="s">
        <v>534</v>
      </c>
      <c r="O59" s="19" t="s">
        <v>535</v>
      </c>
      <c r="P59" s="19" t="s">
        <v>534</v>
      </c>
      <c r="Q59" s="19">
        <v>17415</v>
      </c>
      <c r="R59" s="18" t="s">
        <v>41</v>
      </c>
      <c r="S59" s="18" t="s">
        <v>52</v>
      </c>
      <c r="T59" s="21" t="str">
        <f>VLOOKUP(C59,'[1]TABEL SMA'!$C$8:$D$343,2,0)</f>
        <v>MTQ ISY KARIMA JAWA TENGAH</v>
      </c>
      <c r="U59" s="22" t="str">
        <f>IFERROR(VLOOKUP(Table11[[#This Row],[Nama]],'[1]TABEL BEASISWA'!$B$4:$D$202,2,FALSE),"TIDAK")</f>
        <v>YA</v>
      </c>
      <c r="V59" s="23" t="str">
        <f>IFERROR(VLOOKUP(Table11[[#This Row],[Nama]],'[1]TABEL BEASISWA'!$B$4:$D$202,3,FALSE),"Tidak ada")</f>
        <v>Beasiswa 50%, Berprestasi/Kurang Mampu</v>
      </c>
      <c r="W59" s="24" t="str">
        <f>IFERROR(VLOOKUP(Table11[[#This Row],[Nama]],'[1]TABEL BEASISWA'!$B$4:$E$202,4,FALSE)," ")</f>
        <v>Angkatan 1</v>
      </c>
      <c r="X59" s="25"/>
      <c r="Y59" s="25"/>
      <c r="Z59" s="26"/>
      <c r="AA59" s="25"/>
      <c r="AB59" s="25"/>
      <c r="AC59" s="130">
        <v>1001001</v>
      </c>
      <c r="AD59" s="130"/>
      <c r="AE59" s="130"/>
      <c r="AF59" s="130" t="s">
        <v>2346</v>
      </c>
    </row>
    <row r="60" spans="1:32" ht="28">
      <c r="A60" s="10">
        <f t="shared" si="0"/>
        <v>59</v>
      </c>
      <c r="B60" s="11" t="s">
        <v>536</v>
      </c>
      <c r="C60" s="34" t="s">
        <v>537</v>
      </c>
      <c r="D60" s="35" t="s">
        <v>538</v>
      </c>
      <c r="E60" s="11" t="s">
        <v>539</v>
      </c>
      <c r="F60" s="19" t="s">
        <v>32</v>
      </c>
      <c r="G60" s="27" t="s">
        <v>540</v>
      </c>
      <c r="H60" s="12" t="s">
        <v>541</v>
      </c>
      <c r="I60" s="133">
        <v>36751</v>
      </c>
      <c r="J60" s="16" t="s">
        <v>35</v>
      </c>
      <c r="K60" s="17" t="s">
        <v>542</v>
      </c>
      <c r="L60" s="31"/>
      <c r="M60" s="31"/>
      <c r="N60" s="18" t="s">
        <v>543</v>
      </c>
      <c r="O60" s="19" t="s">
        <v>543</v>
      </c>
      <c r="P60" s="19" t="s">
        <v>544</v>
      </c>
      <c r="Q60" s="19">
        <v>34554</v>
      </c>
      <c r="R60" s="18" t="s">
        <v>41</v>
      </c>
      <c r="S60" s="18" t="s">
        <v>263</v>
      </c>
      <c r="T60" s="21" t="str">
        <f>VLOOKUP(C60,'[1]TABEL SMA'!$C$8:$D$343,2,0)</f>
        <v>SMA NEGERI 2 KOTA BUMI</v>
      </c>
      <c r="U60" s="22" t="str">
        <f>IFERROR(VLOOKUP(Table11[[#This Row],[Nama]],'[1]TABEL BEASISWA'!$B$4:$D$202,2,FALSE),"TIDAK")</f>
        <v>YA</v>
      </c>
      <c r="V60" s="23" t="str">
        <f>IFERROR(VLOOKUP(Table11[[#This Row],[Nama]],'[1]TABEL BEASISWA'!$B$4:$D$202,3,FALSE),"Tidak ada")</f>
        <v>Beasiswa 50%, Pegawai Kejaksaan</v>
      </c>
      <c r="W60" s="24" t="str">
        <f>IFERROR(VLOOKUP(Table11[[#This Row],[Nama]],'[1]TABEL BEASISWA'!$B$4:$E$202,4,FALSE)," ")</f>
        <v>Angkatan 1</v>
      </c>
      <c r="X60" s="25"/>
      <c r="Y60" s="25"/>
      <c r="Z60" s="26"/>
      <c r="AA60" s="25"/>
      <c r="AB60" s="25"/>
      <c r="AC60" s="130">
        <v>1001001</v>
      </c>
      <c r="AD60" s="130">
        <v>180303</v>
      </c>
      <c r="AE60" s="130">
        <v>1803032006</v>
      </c>
      <c r="AF60" s="130" t="s">
        <v>2346</v>
      </c>
    </row>
    <row r="61" spans="1:32" ht="28">
      <c r="A61" s="10">
        <f t="shared" si="0"/>
        <v>60</v>
      </c>
      <c r="B61" s="11" t="s">
        <v>545</v>
      </c>
      <c r="C61" s="12" t="s">
        <v>546</v>
      </c>
      <c r="D61" s="36" t="s">
        <v>547</v>
      </c>
      <c r="E61" s="19">
        <v>9992395513</v>
      </c>
      <c r="F61" s="19" t="s">
        <v>32</v>
      </c>
      <c r="G61" s="27" t="s">
        <v>548</v>
      </c>
      <c r="H61" s="12" t="s">
        <v>549</v>
      </c>
      <c r="I61" s="132">
        <v>36241</v>
      </c>
      <c r="J61" s="16" t="s">
        <v>97</v>
      </c>
      <c r="K61" s="17" t="s">
        <v>550</v>
      </c>
      <c r="L61" s="11" t="s">
        <v>79</v>
      </c>
      <c r="M61" s="11" t="s">
        <v>60</v>
      </c>
      <c r="N61" s="28"/>
      <c r="O61" s="19" t="s">
        <v>551</v>
      </c>
      <c r="P61" s="19" t="s">
        <v>552</v>
      </c>
      <c r="Q61" s="19">
        <v>57615</v>
      </c>
      <c r="R61" s="18" t="s">
        <v>41</v>
      </c>
      <c r="S61" s="18" t="s">
        <v>263</v>
      </c>
      <c r="T61" s="21" t="str">
        <f>VLOOKUP(C61,'[1]TABEL SMA'!$C$8:$D$343,2,0)</f>
        <v>SMA NEGERI 3 WONOGIRI</v>
      </c>
      <c r="U61" s="22" t="str">
        <f>IFERROR(VLOOKUP(Table11[[#This Row],[Nama]],'[1]TABEL BEASISWA'!$B$4:$D$202,2,FALSE),"TIDAK")</f>
        <v>YA</v>
      </c>
      <c r="V61" s="23" t="str">
        <f>IFERROR(VLOOKUP(Table11[[#This Row],[Nama]],'[1]TABEL BEASISWA'!$B$4:$D$202,3,FALSE),"Tidak ada")</f>
        <v>Beasiswa 50%, Pegawai Kejaksaan</v>
      </c>
      <c r="W61" s="24" t="str">
        <f>IFERROR(VLOOKUP(Table11[[#This Row],[Nama]],'[1]TABEL BEASISWA'!$B$4:$E$202,4,FALSE)," ")</f>
        <v>Angkatan 1</v>
      </c>
      <c r="X61" s="25"/>
      <c r="Y61" s="25"/>
      <c r="Z61" s="26"/>
      <c r="AA61" s="25"/>
      <c r="AB61" s="25"/>
      <c r="AC61" s="130">
        <v>1001002</v>
      </c>
      <c r="AD61" s="130">
        <v>331212</v>
      </c>
      <c r="AE61" s="130">
        <v>3312122005</v>
      </c>
      <c r="AF61" s="130" t="s">
        <v>2346</v>
      </c>
    </row>
    <row r="62" spans="1:32">
      <c r="A62" s="10">
        <f t="shared" si="0"/>
        <v>61</v>
      </c>
      <c r="B62" s="11" t="s">
        <v>553</v>
      </c>
      <c r="C62" s="37" t="s">
        <v>554</v>
      </c>
      <c r="D62" s="36" t="s">
        <v>555</v>
      </c>
      <c r="E62" s="11" t="s">
        <v>556</v>
      </c>
      <c r="F62" s="19" t="s">
        <v>32</v>
      </c>
      <c r="G62" s="27" t="s">
        <v>557</v>
      </c>
      <c r="H62" s="12" t="s">
        <v>213</v>
      </c>
      <c r="I62" s="132">
        <v>34202</v>
      </c>
      <c r="J62" s="16" t="s">
        <v>97</v>
      </c>
      <c r="K62" s="17" t="s">
        <v>558</v>
      </c>
      <c r="L62" s="11" t="s">
        <v>79</v>
      </c>
      <c r="M62" s="11" t="s">
        <v>60</v>
      </c>
      <c r="N62" s="18" t="s">
        <v>439</v>
      </c>
      <c r="O62" s="19" t="s">
        <v>439</v>
      </c>
      <c r="P62" s="19" t="s">
        <v>439</v>
      </c>
      <c r="Q62" s="19">
        <v>12520</v>
      </c>
      <c r="R62" s="18" t="s">
        <v>41</v>
      </c>
      <c r="S62" s="18" t="s">
        <v>41</v>
      </c>
      <c r="T62" s="21" t="str">
        <f>VLOOKUP(C62,'[1]TABEL SMA'!$C$8:$D$343,2,0)</f>
        <v>SMA NEGERI 3 PALU</v>
      </c>
      <c r="U62" s="22" t="str">
        <f>IFERROR(VLOOKUP(Table11[[#This Row],[Nama]],'[1]TABEL BEASISWA'!$B$4:$D$202,2,FALSE),"TIDAK")</f>
        <v>YA</v>
      </c>
      <c r="V62" s="23" t="str">
        <f>IFERROR(VLOOKUP(Table11[[#This Row],[Nama]],'[1]TABEL BEASISWA'!$B$4:$D$202,3,FALSE),"Tidak ada")</f>
        <v>Beasiswa 50%, Berprestasi</v>
      </c>
      <c r="W62" s="24" t="str">
        <f>IFERROR(VLOOKUP(Table11[[#This Row],[Nama]],'[1]TABEL BEASISWA'!$B$4:$E$202,4,FALSE)," ")</f>
        <v>Angkatan 2</v>
      </c>
      <c r="X62" s="25"/>
      <c r="Y62" s="25"/>
      <c r="Z62" s="26"/>
      <c r="AA62" s="25"/>
      <c r="AB62" s="25"/>
      <c r="AC62" s="130">
        <v>1001002</v>
      </c>
      <c r="AD62" s="130">
        <v>317404</v>
      </c>
      <c r="AE62" s="130">
        <v>3174041001</v>
      </c>
      <c r="AF62" s="130" t="s">
        <v>2348</v>
      </c>
    </row>
    <row r="63" spans="1:32" ht="28">
      <c r="A63" s="10">
        <f t="shared" si="0"/>
        <v>62</v>
      </c>
      <c r="B63" s="11" t="s">
        <v>559</v>
      </c>
      <c r="C63" s="12" t="s">
        <v>560</v>
      </c>
      <c r="D63" s="38" t="s">
        <v>561</v>
      </c>
      <c r="E63" s="13" t="s">
        <v>562</v>
      </c>
      <c r="F63" s="39" t="s">
        <v>32</v>
      </c>
      <c r="G63" s="15" t="s">
        <v>563</v>
      </c>
      <c r="H63" s="12" t="s">
        <v>34</v>
      </c>
      <c r="I63" s="132">
        <v>37910</v>
      </c>
      <c r="J63" s="16" t="s">
        <v>97</v>
      </c>
      <c r="K63" s="17" t="s">
        <v>564</v>
      </c>
      <c r="L63" s="11" t="s">
        <v>169</v>
      </c>
      <c r="M63" s="11" t="s">
        <v>169</v>
      </c>
      <c r="N63" s="18" t="s">
        <v>565</v>
      </c>
      <c r="O63" s="19" t="s">
        <v>565</v>
      </c>
      <c r="P63" s="19" t="s">
        <v>565</v>
      </c>
      <c r="Q63" s="19">
        <v>13570</v>
      </c>
      <c r="R63" s="18" t="s">
        <v>41</v>
      </c>
      <c r="S63" s="18" t="s">
        <v>365</v>
      </c>
      <c r="T63" s="21" t="str">
        <f>VLOOKUP(C63,'[1]TABEL SMA'!$C$8:$D$343,2,0)</f>
        <v>SMK PASKITA GLOBAL JAKARTA</v>
      </c>
      <c r="U63" s="22" t="str">
        <f>IFERROR(VLOOKUP(Table11[[#This Row],[Nama]],'[1]TABEL BEASISWA'!$B$4:$D$202,2,FALSE),"TIDAK")</f>
        <v>TIDAK</v>
      </c>
      <c r="V63" s="23" t="str">
        <f>IFERROR(VLOOKUP(Table11[[#This Row],[Nama]],'[1]TABEL BEASISWA'!$B$4:$D$202,3,FALSE),"Tidak ada")</f>
        <v>Tidak ada</v>
      </c>
      <c r="W63" s="24" t="str">
        <f>IFERROR(VLOOKUP(Table11[[#This Row],[Nama]],'[1]TABEL BEASISWA'!$B$4:$E$202,4,FALSE)," ")</f>
        <v xml:space="preserve"> </v>
      </c>
      <c r="X63" s="25"/>
      <c r="Y63" s="25"/>
      <c r="Z63" s="26"/>
      <c r="AA63" s="25"/>
      <c r="AB63" s="25"/>
      <c r="AC63" s="130">
        <v>1001002</v>
      </c>
      <c r="AD63" s="130">
        <v>317508</v>
      </c>
      <c r="AE63" s="130">
        <v>3175081001</v>
      </c>
      <c r="AF63" s="130" t="s">
        <v>2347</v>
      </c>
    </row>
    <row r="64" spans="1:32" ht="28">
      <c r="A64" s="10">
        <f t="shared" si="0"/>
        <v>63</v>
      </c>
      <c r="B64" s="11" t="s">
        <v>566</v>
      </c>
      <c r="C64" s="12" t="s">
        <v>567</v>
      </c>
      <c r="D64" s="38" t="s">
        <v>568</v>
      </c>
      <c r="E64" s="13" t="s">
        <v>569</v>
      </c>
      <c r="F64" s="39" t="s">
        <v>67</v>
      </c>
      <c r="G64" s="15" t="s">
        <v>570</v>
      </c>
      <c r="H64" s="12" t="s">
        <v>34</v>
      </c>
      <c r="I64" s="132">
        <v>37883</v>
      </c>
      <c r="J64" s="16" t="s">
        <v>35</v>
      </c>
      <c r="K64" s="17" t="s">
        <v>571</v>
      </c>
      <c r="L64" s="11" t="s">
        <v>572</v>
      </c>
      <c r="M64" s="11" t="s">
        <v>143</v>
      </c>
      <c r="N64" s="18" t="s">
        <v>573</v>
      </c>
      <c r="O64" s="19" t="s">
        <v>573</v>
      </c>
      <c r="P64" s="19" t="s">
        <v>574</v>
      </c>
      <c r="Q64" s="19">
        <v>13830</v>
      </c>
      <c r="R64" s="18" t="s">
        <v>41</v>
      </c>
      <c r="S64" s="18" t="s">
        <v>575</v>
      </c>
      <c r="T64" s="21" t="str">
        <f>VLOOKUP(C64,'[1]TABEL SMA'!$C$8:$D$343,2,0)</f>
        <v>SMA ISLAM PB SOEDIRMAN</v>
      </c>
      <c r="U64" s="22" t="str">
        <f>IFERROR(VLOOKUP(Table11[[#This Row],[Nama]],'[1]TABEL BEASISWA'!$B$4:$D$202,2,FALSE),"TIDAK")</f>
        <v>TIDAK</v>
      </c>
      <c r="V64" s="23" t="str">
        <f>IFERROR(VLOOKUP(Table11[[#This Row],[Nama]],'[1]TABEL BEASISWA'!$B$4:$D$202,3,FALSE),"Tidak ada")</f>
        <v>Tidak ada</v>
      </c>
      <c r="W64" s="24" t="str">
        <f>IFERROR(VLOOKUP(Table11[[#This Row],[Nama]],'[1]TABEL BEASISWA'!$B$4:$E$202,4,FALSE)," ")</f>
        <v xml:space="preserve"> </v>
      </c>
      <c r="X64" s="25"/>
      <c r="Y64" s="25"/>
      <c r="Z64" s="26"/>
      <c r="AA64" s="25"/>
      <c r="AB64" s="25"/>
      <c r="AC64" s="130">
        <v>1001001</v>
      </c>
      <c r="AD64" s="130">
        <v>317509</v>
      </c>
      <c r="AE64" s="130"/>
      <c r="AF64" s="130" t="s">
        <v>2349</v>
      </c>
    </row>
    <row r="65" spans="1:32" ht="56">
      <c r="A65" s="10">
        <f t="shared" si="0"/>
        <v>64</v>
      </c>
      <c r="B65" s="11" t="s">
        <v>576</v>
      </c>
      <c r="C65" s="12" t="s">
        <v>577</v>
      </c>
      <c r="D65" s="37" t="s">
        <v>578</v>
      </c>
      <c r="E65" s="13" t="s">
        <v>579</v>
      </c>
      <c r="F65" s="39" t="s">
        <v>32</v>
      </c>
      <c r="G65" s="15" t="s">
        <v>580</v>
      </c>
      <c r="H65" s="12" t="s">
        <v>581</v>
      </c>
      <c r="I65" s="132">
        <v>38167</v>
      </c>
      <c r="J65" s="16" t="s">
        <v>35</v>
      </c>
      <c r="K65" s="17" t="s">
        <v>582</v>
      </c>
      <c r="L65" s="11" t="s">
        <v>50</v>
      </c>
      <c r="M65" s="19" t="s">
        <v>140</v>
      </c>
      <c r="N65" s="18" t="s">
        <v>583</v>
      </c>
      <c r="O65" s="19" t="s">
        <v>583</v>
      </c>
      <c r="P65" s="19" t="s">
        <v>584</v>
      </c>
      <c r="Q65" s="19">
        <v>31612</v>
      </c>
      <c r="R65" s="18" t="s">
        <v>41</v>
      </c>
      <c r="S65" s="18" t="s">
        <v>52</v>
      </c>
      <c r="T65" s="21" t="str">
        <f>VLOOKUP(C65,'[1]TABEL SMA'!$C$8:$D$343,2,0)</f>
        <v>SMA NEGERI 1 SIKAP DALAM EMPAT LAWANG SUMATERA SELATAN</v>
      </c>
      <c r="U65" s="22" t="str">
        <f>IFERROR(VLOOKUP(Table11[[#This Row],[Nama]],'[1]TABEL BEASISWA'!$B$4:$D$202,2,FALSE),"TIDAK")</f>
        <v>TIDAK</v>
      </c>
      <c r="V65" s="23" t="str">
        <f>IFERROR(VLOOKUP(Table11[[#This Row],[Nama]],'[1]TABEL BEASISWA'!$B$4:$D$202,3,FALSE),"Tidak ada")</f>
        <v>Tidak ada</v>
      </c>
      <c r="W65" s="24" t="str">
        <f>IFERROR(VLOOKUP(Table11[[#This Row],[Nama]],'[1]TABEL BEASISWA'!$B$4:$E$202,4,FALSE)," ")</f>
        <v xml:space="preserve"> </v>
      </c>
      <c r="X65" s="25"/>
      <c r="Y65" s="25"/>
      <c r="Z65" s="26"/>
      <c r="AA65" s="25"/>
      <c r="AB65" s="25"/>
      <c r="AC65" s="130">
        <v>1001001</v>
      </c>
      <c r="AD65" s="130"/>
      <c r="AE65" s="130"/>
      <c r="AF65" s="130" t="s">
        <v>2346</v>
      </c>
    </row>
    <row r="66" spans="1:32">
      <c r="A66" s="40">
        <f t="shared" si="0"/>
        <v>65</v>
      </c>
      <c r="B66" s="41" t="s">
        <v>585</v>
      </c>
      <c r="C66" s="42" t="s">
        <v>586</v>
      </c>
      <c r="D66" s="37" t="s">
        <v>587</v>
      </c>
      <c r="E66" s="13" t="s">
        <v>588</v>
      </c>
      <c r="F66" s="14" t="s">
        <v>32</v>
      </c>
      <c r="G66" s="15" t="s">
        <v>589</v>
      </c>
      <c r="H66" s="12" t="s">
        <v>590</v>
      </c>
      <c r="I66" s="132">
        <v>35840</v>
      </c>
      <c r="J66" s="16" t="s">
        <v>35</v>
      </c>
      <c r="K66" s="17" t="s">
        <v>591</v>
      </c>
      <c r="L66" s="11" t="s">
        <v>61</v>
      </c>
      <c r="M66" s="11" t="s">
        <v>60</v>
      </c>
      <c r="N66" s="18" t="s">
        <v>592</v>
      </c>
      <c r="O66" s="19" t="s">
        <v>593</v>
      </c>
      <c r="P66" s="20" t="s">
        <v>594</v>
      </c>
      <c r="Q66" s="19">
        <v>38126</v>
      </c>
      <c r="R66" s="18" t="s">
        <v>41</v>
      </c>
      <c r="S66" s="18" t="s">
        <v>263</v>
      </c>
      <c r="T66" s="21" t="e">
        <f>VLOOKUP(C66,'[1]TABEL SMA'!$C$8:$D$343,2,0)</f>
        <v>#N/A</v>
      </c>
      <c r="U66" s="22" t="str">
        <f>IFERROR(VLOOKUP(Table11[[#This Row],[Nama]],'[1]TABEL BEASISWA'!$B$4:$D$202,2,FALSE),"TIDAK")</f>
        <v>TIDAK</v>
      </c>
      <c r="V66" s="23" t="str">
        <f>IFERROR(VLOOKUP(Table11[[#This Row],[Nama]],'[1]TABEL BEASISWA'!$B$4:$D$202,3,FALSE),"Tidak ada")</f>
        <v>Tidak ada</v>
      </c>
      <c r="W66" s="24" t="str">
        <f>IFERROR(VLOOKUP(Table11[[#This Row],[Nama]],'[1]TABEL BEASISWA'!$B$4:$E$202,4,FALSE)," ")</f>
        <v xml:space="preserve"> </v>
      </c>
      <c r="X66" s="25"/>
      <c r="Y66" s="25"/>
      <c r="Z66" s="26"/>
      <c r="AA66" s="25"/>
      <c r="AB66" s="25"/>
      <c r="AC66" s="130">
        <v>1001001</v>
      </c>
      <c r="AD66" s="130">
        <v>177104</v>
      </c>
      <c r="AE66" s="130"/>
      <c r="AF66" s="130" t="s">
        <v>2346</v>
      </c>
    </row>
    <row r="67" spans="1:32" ht="28">
      <c r="A67" s="10">
        <f t="shared" ref="A67:A116" si="1">A66+1</f>
        <v>66</v>
      </c>
      <c r="B67" s="11" t="s">
        <v>595</v>
      </c>
      <c r="C67" s="12" t="s">
        <v>596</v>
      </c>
      <c r="D67" s="37" t="s">
        <v>597</v>
      </c>
      <c r="E67" s="13" t="s">
        <v>598</v>
      </c>
      <c r="F67" s="39" t="s">
        <v>32</v>
      </c>
      <c r="G67" s="15" t="s">
        <v>599</v>
      </c>
      <c r="H67" s="12" t="s">
        <v>600</v>
      </c>
      <c r="I67" s="132">
        <v>37628</v>
      </c>
      <c r="J67" s="16" t="s">
        <v>35</v>
      </c>
      <c r="K67" s="17" t="s">
        <v>601</v>
      </c>
      <c r="L67" s="11" t="s">
        <v>140</v>
      </c>
      <c r="M67" s="11" t="s">
        <v>140</v>
      </c>
      <c r="N67" s="18" t="s">
        <v>602</v>
      </c>
      <c r="O67" s="19" t="s">
        <v>602</v>
      </c>
      <c r="P67" s="19" t="s">
        <v>603</v>
      </c>
      <c r="Q67" s="19">
        <v>38876</v>
      </c>
      <c r="R67" s="18" t="s">
        <v>41</v>
      </c>
      <c r="S67" s="18" t="s">
        <v>263</v>
      </c>
      <c r="T67" s="21" t="str">
        <f>VLOOKUP(C67,'[1]TABEL SMA'!$C$8:$D$343,2,0)</f>
        <v>SMA NEGERI 1 SELUMA</v>
      </c>
      <c r="U67" s="22" t="str">
        <f>IFERROR(VLOOKUP(Table11[[#This Row],[Nama]],'[1]TABEL BEASISWA'!$B$4:$D$202,2,FALSE),"TIDAK")</f>
        <v>YA</v>
      </c>
      <c r="V67" s="23" t="str">
        <f>IFERROR(VLOOKUP(Table11[[#This Row],[Nama]],'[1]TABEL BEASISWA'!$B$4:$D$202,3,FALSE),"Tidak ada")</f>
        <v>Beasiswa 25% Kurang Mampu-Pegawai Kejaksaan</v>
      </c>
      <c r="W67" s="24" t="str">
        <f>IFERROR(VLOOKUP(Table11[[#This Row],[Nama]],'[1]TABEL BEASISWA'!$B$4:$E$202,4,FALSE)," ")</f>
        <v>Angkatan 2</v>
      </c>
      <c r="X67" s="25"/>
      <c r="Y67" s="25"/>
      <c r="Z67" s="26"/>
      <c r="AA67" s="25"/>
      <c r="AB67" s="25"/>
      <c r="AC67" s="130">
        <v>1001001</v>
      </c>
      <c r="AD67" s="130">
        <v>170502</v>
      </c>
      <c r="AE67" s="130">
        <v>1705021011</v>
      </c>
      <c r="AF67" s="130" t="s">
        <v>2346</v>
      </c>
    </row>
    <row r="68" spans="1:32" ht="28">
      <c r="A68" s="10">
        <f t="shared" si="1"/>
        <v>67</v>
      </c>
      <c r="B68" s="11" t="s">
        <v>604</v>
      </c>
      <c r="C68" s="12" t="s">
        <v>605</v>
      </c>
      <c r="D68" s="37" t="s">
        <v>606</v>
      </c>
      <c r="E68" s="13" t="s">
        <v>607</v>
      </c>
      <c r="F68" s="18" t="s">
        <v>32</v>
      </c>
      <c r="G68" s="27" t="s">
        <v>608</v>
      </c>
      <c r="H68" s="12" t="s">
        <v>609</v>
      </c>
      <c r="I68" s="132">
        <v>38051</v>
      </c>
      <c r="J68" s="16" t="s">
        <v>35</v>
      </c>
      <c r="K68" s="17" t="s">
        <v>610</v>
      </c>
      <c r="L68" s="11" t="s">
        <v>489</v>
      </c>
      <c r="M68" s="11" t="s">
        <v>79</v>
      </c>
      <c r="N68" s="18" t="s">
        <v>611</v>
      </c>
      <c r="O68" s="19" t="s">
        <v>611</v>
      </c>
      <c r="P68" s="19" t="s">
        <v>612</v>
      </c>
      <c r="Q68" s="19">
        <v>13710</v>
      </c>
      <c r="R68" s="18" t="s">
        <v>41</v>
      </c>
      <c r="S68" s="18" t="s">
        <v>52</v>
      </c>
      <c r="T68" s="21" t="str">
        <f>VLOOKUP(C68,'[1]TABEL SMA'!$C$8:$D$343,2,0)</f>
        <v>SMK ISLAM PB SOEDIRMAN 1</v>
      </c>
      <c r="U68" s="22" t="str">
        <f>IFERROR(VLOOKUP(Table11[[#This Row],[Nama]],'[1]TABEL BEASISWA'!$B$4:$D$202,2,FALSE),"TIDAK")</f>
        <v>TIDAK</v>
      </c>
      <c r="V68" s="23" t="str">
        <f>IFERROR(VLOOKUP(Table11[[#This Row],[Nama]],'[1]TABEL BEASISWA'!$B$4:$D$202,3,FALSE),"Tidak ada")</f>
        <v>Tidak ada</v>
      </c>
      <c r="W68" s="24" t="str">
        <f>IFERROR(VLOOKUP(Table11[[#This Row],[Nama]],'[1]TABEL BEASISWA'!$B$4:$E$202,4,FALSE)," ")</f>
        <v xml:space="preserve"> </v>
      </c>
      <c r="X68" s="25"/>
      <c r="Y68" s="25"/>
      <c r="Z68" s="26"/>
      <c r="AA68" s="25"/>
      <c r="AB68" s="25"/>
      <c r="AC68" s="130">
        <v>1001001</v>
      </c>
      <c r="AD68" s="130">
        <v>317505</v>
      </c>
      <c r="AE68" s="130">
        <v>3175051005</v>
      </c>
      <c r="AF68" s="130" t="s">
        <v>2346</v>
      </c>
    </row>
    <row r="69" spans="1:32" ht="28">
      <c r="A69" s="10">
        <f t="shared" si="1"/>
        <v>68</v>
      </c>
      <c r="B69" s="11" t="s">
        <v>613</v>
      </c>
      <c r="C69" s="12" t="s">
        <v>614</v>
      </c>
      <c r="D69" s="37" t="s">
        <v>615</v>
      </c>
      <c r="E69" s="13" t="s">
        <v>616</v>
      </c>
      <c r="F69" s="18" t="s">
        <v>67</v>
      </c>
      <c r="G69" s="27" t="s">
        <v>617</v>
      </c>
      <c r="H69" s="12" t="s">
        <v>618</v>
      </c>
      <c r="I69" s="132">
        <v>38426</v>
      </c>
      <c r="J69" s="16" t="s">
        <v>97</v>
      </c>
      <c r="K69" s="17" t="s">
        <v>619</v>
      </c>
      <c r="L69" s="11" t="s">
        <v>50</v>
      </c>
      <c r="M69" s="11" t="s">
        <v>437</v>
      </c>
      <c r="N69" s="18" t="s">
        <v>620</v>
      </c>
      <c r="O69" s="19" t="s">
        <v>620</v>
      </c>
      <c r="P69" s="19" t="s">
        <v>621</v>
      </c>
      <c r="Q69" s="19">
        <v>99220</v>
      </c>
      <c r="R69" s="18" t="s">
        <v>41</v>
      </c>
      <c r="S69" s="18" t="s">
        <v>365</v>
      </c>
      <c r="T69" s="21" t="str">
        <f>VLOOKUP(C69,'[1]TABEL SMA'!$C$8:$D$343,2,0)</f>
        <v>SMA NEGERI 4 JAYAPURA</v>
      </c>
      <c r="U69" s="22" t="str">
        <f>IFERROR(VLOOKUP(Table11[[#This Row],[Nama]],'[1]TABEL BEASISWA'!$B$4:$D$202,2,FALSE),"TIDAK")</f>
        <v>TIDAK</v>
      </c>
      <c r="V69" s="23" t="str">
        <f>IFERROR(VLOOKUP(Table11[[#This Row],[Nama]],'[1]TABEL BEASISWA'!$B$4:$D$202,3,FALSE),"Tidak ada")</f>
        <v>Tidak ada</v>
      </c>
      <c r="W69" s="24" t="str">
        <f>IFERROR(VLOOKUP(Table11[[#This Row],[Nama]],'[1]TABEL BEASISWA'!$B$4:$E$202,4,FALSE)," ")</f>
        <v xml:space="preserve"> </v>
      </c>
      <c r="X69" s="25"/>
      <c r="Y69" s="25"/>
      <c r="Z69" s="26"/>
      <c r="AA69" s="25"/>
      <c r="AB69" s="25"/>
      <c r="AC69" s="130">
        <v>1001002</v>
      </c>
      <c r="AD69" s="130">
        <v>917102</v>
      </c>
      <c r="AE69" s="130"/>
      <c r="AF69" s="130" t="s">
        <v>2347</v>
      </c>
    </row>
    <row r="70" spans="1:32" ht="28">
      <c r="A70" s="10">
        <f t="shared" si="1"/>
        <v>69</v>
      </c>
      <c r="B70" s="11" t="s">
        <v>622</v>
      </c>
      <c r="C70" s="12" t="s">
        <v>623</v>
      </c>
      <c r="D70" s="37" t="s">
        <v>624</v>
      </c>
      <c r="E70" s="11" t="s">
        <v>625</v>
      </c>
      <c r="F70" s="19" t="s">
        <v>32</v>
      </c>
      <c r="G70" s="27" t="s">
        <v>626</v>
      </c>
      <c r="H70" s="12" t="s">
        <v>627</v>
      </c>
      <c r="I70" s="132">
        <v>37777</v>
      </c>
      <c r="J70" s="16" t="s">
        <v>35</v>
      </c>
      <c r="K70" s="17" t="s">
        <v>628</v>
      </c>
      <c r="L70" s="11" t="s">
        <v>50</v>
      </c>
      <c r="M70" s="11" t="s">
        <v>79</v>
      </c>
      <c r="N70" s="18" t="s">
        <v>629</v>
      </c>
      <c r="O70" s="19" t="s">
        <v>629</v>
      </c>
      <c r="P70" s="19" t="s">
        <v>630</v>
      </c>
      <c r="Q70" s="19">
        <v>29274</v>
      </c>
      <c r="R70" s="18" t="s">
        <v>41</v>
      </c>
      <c r="S70" s="18" t="s">
        <v>52</v>
      </c>
      <c r="T70" s="21" t="str">
        <f>VLOOKUP(C70,'[1]TABEL SMA'!$C$8:$D$343,2,0)</f>
        <v>SMA NEGERI 1 TEMBILAHAN HULU</v>
      </c>
      <c r="U70" s="22" t="str">
        <f>IFERROR(VLOOKUP(Table11[[#This Row],[Nama]],'[1]TABEL BEASISWA'!$B$4:$D$202,2,FALSE),"TIDAK")</f>
        <v>YA</v>
      </c>
      <c r="V70" s="23" t="str">
        <f>IFERROR(VLOOKUP(Table11[[#This Row],[Nama]],'[1]TABEL BEASISWA'!$B$4:$D$202,3,FALSE),"Tidak ada")</f>
        <v>Beasiswa 50%, Berprestasi/Kurang Mampu</v>
      </c>
      <c r="W70" s="24" t="str">
        <f>IFERROR(VLOOKUP(Table11[[#This Row],[Nama]],'[1]TABEL BEASISWA'!$B$4:$E$202,4,FALSE)," ")</f>
        <v>Angkatan 2</v>
      </c>
      <c r="X70" s="25"/>
      <c r="Y70" s="25"/>
      <c r="Z70" s="26"/>
      <c r="AA70" s="25"/>
      <c r="AB70" s="25"/>
      <c r="AC70" s="130">
        <v>1001001</v>
      </c>
      <c r="AD70" s="130">
        <v>140409</v>
      </c>
      <c r="AE70" s="130">
        <v>1404092011</v>
      </c>
      <c r="AF70" s="130" t="s">
        <v>2346</v>
      </c>
    </row>
    <row r="71" spans="1:32" ht="42">
      <c r="A71" s="10">
        <f t="shared" si="1"/>
        <v>70</v>
      </c>
      <c r="B71" s="11" t="s">
        <v>631</v>
      </c>
      <c r="C71" s="12" t="s">
        <v>632</v>
      </c>
      <c r="D71" s="37" t="s">
        <v>633</v>
      </c>
      <c r="E71" s="11" t="s">
        <v>634</v>
      </c>
      <c r="F71" s="19" t="s">
        <v>32</v>
      </c>
      <c r="G71" s="27" t="s">
        <v>635</v>
      </c>
      <c r="H71" s="12" t="s">
        <v>34</v>
      </c>
      <c r="I71" s="132">
        <v>32112</v>
      </c>
      <c r="J71" s="16" t="s">
        <v>35</v>
      </c>
      <c r="K71" s="17" t="s">
        <v>636</v>
      </c>
      <c r="L71" s="19">
        <v>9</v>
      </c>
      <c r="M71" s="19">
        <v>3</v>
      </c>
      <c r="N71" s="18" t="s">
        <v>637</v>
      </c>
      <c r="O71" s="19" t="s">
        <v>637</v>
      </c>
      <c r="P71" s="19" t="s">
        <v>439</v>
      </c>
      <c r="Q71" s="19">
        <v>12540</v>
      </c>
      <c r="R71" s="18" t="s">
        <v>41</v>
      </c>
      <c r="S71" s="18" t="s">
        <v>52</v>
      </c>
      <c r="T71" s="21" t="str">
        <f>VLOOKUP(C71,'[1]TABEL SMA'!$C$8:$D$343,2,0)</f>
        <v>SMA SWASTA GONZAGA JAKARTA SELATAN</v>
      </c>
      <c r="U71" s="22" t="str">
        <f>IFERROR(VLOOKUP(Table11[[#This Row],[Nama]],'[1]TABEL BEASISWA'!$B$4:$D$202,2,FALSE),"TIDAK")</f>
        <v>TIDAK</v>
      </c>
      <c r="V71" s="23" t="str">
        <f>IFERROR(VLOOKUP(Table11[[#This Row],[Nama]],'[1]TABEL BEASISWA'!$B$4:$D$202,3,FALSE),"Tidak ada")</f>
        <v>Tidak ada</v>
      </c>
      <c r="W71" s="24" t="str">
        <f>IFERROR(VLOOKUP(Table11[[#This Row],[Nama]],'[1]TABEL BEASISWA'!$B$4:$E$202,4,FALSE)," ")</f>
        <v xml:space="preserve"> </v>
      </c>
      <c r="X71" s="25"/>
      <c r="Y71" s="25"/>
      <c r="Z71" s="26"/>
      <c r="AA71" s="25"/>
      <c r="AB71" s="25"/>
      <c r="AC71" s="130">
        <v>1001001</v>
      </c>
      <c r="AD71" s="130">
        <v>317404</v>
      </c>
      <c r="AE71" s="130">
        <v>3174041002</v>
      </c>
      <c r="AF71" s="130" t="s">
        <v>2346</v>
      </c>
    </row>
    <row r="72" spans="1:32" ht="42">
      <c r="A72" s="10">
        <f t="shared" si="1"/>
        <v>71</v>
      </c>
      <c r="B72" s="19">
        <v>2230123072</v>
      </c>
      <c r="C72" s="12" t="s">
        <v>638</v>
      </c>
      <c r="D72" s="37" t="s">
        <v>639</v>
      </c>
      <c r="E72" s="43" t="s">
        <v>640</v>
      </c>
      <c r="F72" s="44" t="s">
        <v>67</v>
      </c>
      <c r="G72" s="27" t="s">
        <v>641</v>
      </c>
      <c r="H72" s="12" t="s">
        <v>505</v>
      </c>
      <c r="I72" s="132">
        <v>38420</v>
      </c>
      <c r="J72" s="16" t="s">
        <v>35</v>
      </c>
      <c r="K72" s="17" t="s">
        <v>642</v>
      </c>
      <c r="L72" s="45" t="s">
        <v>61</v>
      </c>
      <c r="M72" s="45" t="s">
        <v>437</v>
      </c>
      <c r="N72" s="46" t="s">
        <v>643</v>
      </c>
      <c r="O72" s="47" t="s">
        <v>644</v>
      </c>
      <c r="P72" s="47" t="s">
        <v>645</v>
      </c>
      <c r="Q72" s="47">
        <v>40172</v>
      </c>
      <c r="R72" s="48" t="s">
        <v>41</v>
      </c>
      <c r="S72" s="18" t="s">
        <v>52</v>
      </c>
      <c r="T72" s="21" t="str">
        <f>VLOOKUP(C72,'[1]TABEL SMA'!$C$8:$D$343,2,0)</f>
        <v>SMAN 2 CIMAHI</v>
      </c>
      <c r="U72" s="22" t="str">
        <f>IFERROR(VLOOKUP(Table11[[#This Row],[Nama]],'[1]TABEL BEASISWA'!$B$4:$D$202,2,FALSE),"TIDAK")</f>
        <v>YA</v>
      </c>
      <c r="V72" s="23" t="str">
        <f>IFERROR(VLOOKUP(Table11[[#This Row],[Nama]],'[1]TABEL BEASISWA'!$B$4:$D$202,3,FALSE),"Tidak ada")</f>
        <v>Beasiswa 100%, Keluarga Adhyaksa (Putra Putri Jaksa)</v>
      </c>
      <c r="W72" s="24" t="str">
        <f>IFERROR(VLOOKUP(Table11[[#This Row],[Nama]],'[1]TABEL BEASISWA'!$B$4:$E$202,4,FALSE)," ")</f>
        <v>Angkatan 3</v>
      </c>
      <c r="X72" s="25"/>
      <c r="Y72" s="25"/>
      <c r="Z72" s="26"/>
      <c r="AA72" s="25"/>
      <c r="AB72" s="25"/>
      <c r="AC72" s="130">
        <v>1001001</v>
      </c>
      <c r="AD72" s="130">
        <v>327701</v>
      </c>
      <c r="AE72" s="130">
        <v>3277011003</v>
      </c>
      <c r="AF72" s="130" t="s">
        <v>2346</v>
      </c>
    </row>
    <row r="73" spans="1:32" ht="42">
      <c r="A73" s="10">
        <f t="shared" si="1"/>
        <v>72</v>
      </c>
      <c r="B73" s="19">
        <v>2230123073</v>
      </c>
      <c r="C73" s="12" t="s">
        <v>646</v>
      </c>
      <c r="D73" s="37" t="s">
        <v>647</v>
      </c>
      <c r="E73" s="43" t="s">
        <v>648</v>
      </c>
      <c r="F73" s="44" t="s">
        <v>32</v>
      </c>
      <c r="G73" s="27" t="s">
        <v>649</v>
      </c>
      <c r="H73" s="12" t="s">
        <v>565</v>
      </c>
      <c r="I73" s="132">
        <v>38516</v>
      </c>
      <c r="J73" s="16" t="s">
        <v>97</v>
      </c>
      <c r="K73" s="17" t="s">
        <v>650</v>
      </c>
      <c r="L73" s="43" t="s">
        <v>205</v>
      </c>
      <c r="M73" s="43" t="s">
        <v>60</v>
      </c>
      <c r="N73" s="49" t="s">
        <v>651</v>
      </c>
      <c r="O73" s="44" t="s">
        <v>652</v>
      </c>
      <c r="P73" s="44" t="s">
        <v>653</v>
      </c>
      <c r="Q73" s="43" t="s">
        <v>654</v>
      </c>
      <c r="R73" s="18" t="s">
        <v>41</v>
      </c>
      <c r="S73" s="18" t="s">
        <v>52</v>
      </c>
      <c r="T73" s="21" t="str">
        <f>VLOOKUP(C73,'[1]TABEL SMA'!$C$8:$D$343,2,0)</f>
        <v>SMAN 32 JAKARTA</v>
      </c>
      <c r="U73" s="22" t="str">
        <f>IFERROR(VLOOKUP(Table11[[#This Row],[Nama]],'[1]TABEL BEASISWA'!$B$4:$D$202,2,FALSE),"TIDAK")</f>
        <v>YA</v>
      </c>
      <c r="V73" s="23" t="str">
        <f>IFERROR(VLOOKUP(Table11[[#This Row],[Nama]],'[1]TABEL BEASISWA'!$B$4:$D$202,3,FALSE),"Tidak ada")</f>
        <v>Beasiswa 100%, Keluarga Adhyaksa (Putra Putri Jaksa)</v>
      </c>
      <c r="W73" s="24" t="str">
        <f>IFERROR(VLOOKUP(Table11[[#This Row],[Nama]],'[1]TABEL BEASISWA'!$B$4:$E$202,4,FALSE)," ")</f>
        <v>Angkatan 3</v>
      </c>
      <c r="X73" s="25"/>
      <c r="Y73" s="25"/>
      <c r="Z73" s="26"/>
      <c r="AA73" s="25"/>
      <c r="AB73" s="25"/>
      <c r="AC73" s="130">
        <v>1001002</v>
      </c>
      <c r="AD73" s="130">
        <v>317407</v>
      </c>
      <c r="AE73" s="130">
        <v>3174071009</v>
      </c>
      <c r="AF73" s="130" t="s">
        <v>2346</v>
      </c>
    </row>
    <row r="74" spans="1:32">
      <c r="A74" s="40">
        <f t="shared" si="1"/>
        <v>73</v>
      </c>
      <c r="B74" s="50">
        <v>2230123074</v>
      </c>
      <c r="C74" s="51" t="s">
        <v>655</v>
      </c>
      <c r="D74" s="37" t="s">
        <v>656</v>
      </c>
      <c r="E74" s="11" t="s">
        <v>657</v>
      </c>
      <c r="F74" s="19" t="s">
        <v>32</v>
      </c>
      <c r="G74" s="27" t="s">
        <v>658</v>
      </c>
      <c r="H74" s="12" t="s">
        <v>659</v>
      </c>
      <c r="I74" s="132">
        <v>38453</v>
      </c>
      <c r="J74" s="16" t="s">
        <v>35</v>
      </c>
      <c r="K74" s="17" t="s">
        <v>660</v>
      </c>
      <c r="L74" s="11" t="s">
        <v>661</v>
      </c>
      <c r="M74" s="11" t="s">
        <v>61</v>
      </c>
      <c r="N74" s="18" t="s">
        <v>662</v>
      </c>
      <c r="O74" s="19" t="s">
        <v>663</v>
      </c>
      <c r="P74" s="19" t="s">
        <v>663</v>
      </c>
      <c r="Q74" s="19">
        <v>46261</v>
      </c>
      <c r="R74" s="18" t="s">
        <v>41</v>
      </c>
      <c r="S74" s="18" t="s">
        <v>52</v>
      </c>
      <c r="T74" s="21" t="e">
        <f>VLOOKUP(C74,'[1]TABEL SMA'!$C$8:$D$343,2,0)</f>
        <v>#N/A</v>
      </c>
      <c r="U74" s="22" t="str">
        <f>IFERROR(VLOOKUP(Table11[[#This Row],[Nama]],'[1]TABEL BEASISWA'!$B$4:$D$202,2,FALSE),"TIDAK")</f>
        <v>TIDAK</v>
      </c>
      <c r="V74" s="23" t="str">
        <f>IFERROR(VLOOKUP(Table11[[#This Row],[Nama]],'[1]TABEL BEASISWA'!$B$4:$D$202,3,FALSE),"Tidak ada")</f>
        <v>Tidak ada</v>
      </c>
      <c r="W74" s="24" t="str">
        <f>IFERROR(VLOOKUP(Table11[[#This Row],[Nama]],'[1]TABEL BEASISWA'!$B$4:$E$202,4,FALSE)," ")</f>
        <v xml:space="preserve"> </v>
      </c>
      <c r="X74" s="25"/>
      <c r="Y74" s="25"/>
      <c r="Z74" s="26"/>
      <c r="AA74" s="25"/>
      <c r="AB74" s="25"/>
      <c r="AC74" s="130">
        <v>1001001</v>
      </c>
      <c r="AD74" s="130">
        <v>320731</v>
      </c>
      <c r="AE74" s="130">
        <v>3207312001</v>
      </c>
      <c r="AF74" s="130" t="s">
        <v>2346</v>
      </c>
    </row>
    <row r="75" spans="1:32" ht="42">
      <c r="A75" s="10">
        <f t="shared" si="1"/>
        <v>74</v>
      </c>
      <c r="B75" s="19">
        <v>2230123075</v>
      </c>
      <c r="C75" s="12" t="s">
        <v>664</v>
      </c>
      <c r="D75" s="37" t="s">
        <v>665</v>
      </c>
      <c r="E75" s="43" t="s">
        <v>666</v>
      </c>
      <c r="F75" s="44" t="s">
        <v>67</v>
      </c>
      <c r="G75" s="27" t="s">
        <v>667</v>
      </c>
      <c r="H75" s="12" t="s">
        <v>186</v>
      </c>
      <c r="I75" s="132">
        <v>38549</v>
      </c>
      <c r="J75" s="16" t="s">
        <v>97</v>
      </c>
      <c r="K75" s="17" t="s">
        <v>668</v>
      </c>
      <c r="L75" s="43" t="s">
        <v>37</v>
      </c>
      <c r="M75" s="43" t="s">
        <v>61</v>
      </c>
      <c r="N75" s="49" t="s">
        <v>669</v>
      </c>
      <c r="O75" s="44" t="s">
        <v>669</v>
      </c>
      <c r="P75" s="44" t="s">
        <v>670</v>
      </c>
      <c r="Q75" s="44">
        <v>28125</v>
      </c>
      <c r="R75" s="18" t="s">
        <v>41</v>
      </c>
      <c r="S75" s="18" t="s">
        <v>52</v>
      </c>
      <c r="T75" s="21" t="str">
        <f>VLOOKUP(C75,'[1]TABEL SMA'!$C$8:$D$343,2,0)</f>
        <v>SMAN 8 PEKANBARU</v>
      </c>
      <c r="U75" s="22" t="str">
        <f>IFERROR(VLOOKUP(Table11[[#This Row],[Nama]],'[1]TABEL BEASISWA'!$B$4:$D$202,2,FALSE),"TIDAK")</f>
        <v>YA</v>
      </c>
      <c r="V75" s="23" t="str">
        <f>IFERROR(VLOOKUP(Table11[[#This Row],[Nama]],'[1]TABEL BEASISWA'!$B$4:$D$202,3,FALSE),"Tidak ada")</f>
        <v>Beasiswa 100%, Keluarga Adhyaksa (Putra Putri Jaksa)</v>
      </c>
      <c r="W75" s="24" t="str">
        <f>IFERROR(VLOOKUP(Table11[[#This Row],[Nama]],'[1]TABEL BEASISWA'!$B$4:$E$202,4,FALSE)," ")</f>
        <v>Angkatan 3</v>
      </c>
      <c r="X75" s="25"/>
      <c r="Y75" s="25"/>
      <c r="Z75" s="26"/>
      <c r="AA75" s="25"/>
      <c r="AB75" s="25"/>
      <c r="AC75" s="130">
        <v>1001002</v>
      </c>
      <c r="AD75" s="130">
        <v>147109</v>
      </c>
      <c r="AE75" s="130">
        <v>1471091003</v>
      </c>
      <c r="AF75" s="130" t="s">
        <v>2346</v>
      </c>
    </row>
    <row r="76" spans="1:32" ht="42">
      <c r="A76" s="10">
        <f t="shared" si="1"/>
        <v>75</v>
      </c>
      <c r="B76" s="19">
        <v>2230123076</v>
      </c>
      <c r="C76" s="12" t="s">
        <v>671</v>
      </c>
      <c r="D76" s="37" t="s">
        <v>672</v>
      </c>
      <c r="E76" s="43" t="s">
        <v>673</v>
      </c>
      <c r="F76" s="44" t="s">
        <v>67</v>
      </c>
      <c r="G76" s="27" t="s">
        <v>674</v>
      </c>
      <c r="H76" s="12" t="s">
        <v>618</v>
      </c>
      <c r="I76" s="132">
        <v>38545</v>
      </c>
      <c r="J76" s="16" t="s">
        <v>97</v>
      </c>
      <c r="K76" s="17" t="s">
        <v>675</v>
      </c>
      <c r="L76" s="45" t="s">
        <v>143</v>
      </c>
      <c r="M76" s="45" t="s">
        <v>61</v>
      </c>
      <c r="N76" s="46" t="s">
        <v>676</v>
      </c>
      <c r="O76" s="47" t="s">
        <v>677</v>
      </c>
      <c r="P76" s="47" t="s">
        <v>678</v>
      </c>
      <c r="Q76" s="47">
        <v>99332</v>
      </c>
      <c r="R76" s="48" t="s">
        <v>41</v>
      </c>
      <c r="S76" s="18" t="s">
        <v>52</v>
      </c>
      <c r="T76" s="21" t="str">
        <f>VLOOKUP(C76,'[1]TABEL SMA'!$C$8:$D$343,2,0)</f>
        <v>SMA NEGERI 3 JAYAPURA</v>
      </c>
      <c r="U76" s="22" t="str">
        <f>IFERROR(VLOOKUP(Table11[[#This Row],[Nama]],'[1]TABEL BEASISWA'!$B$4:$D$202,2,FALSE),"TIDAK")</f>
        <v>YA</v>
      </c>
      <c r="V76" s="23" t="str">
        <f>IFERROR(VLOOKUP(Table11[[#This Row],[Nama]],'[1]TABEL BEASISWA'!$B$4:$D$202,3,FALSE),"Tidak ada")</f>
        <v>Beasiswa 100%, Keluarga Adhyaksa (Putra Putri Jaksa)</v>
      </c>
      <c r="W76" s="24" t="str">
        <f>IFERROR(VLOOKUP(Table11[[#This Row],[Nama]],'[1]TABEL BEASISWA'!$B$4:$E$202,4,FALSE)," ")</f>
        <v>Angkatan 3</v>
      </c>
      <c r="X76" s="25"/>
      <c r="Y76" s="25"/>
      <c r="Z76" s="26"/>
      <c r="AA76" s="25"/>
      <c r="AB76" s="25"/>
      <c r="AC76" s="130">
        <v>1001002</v>
      </c>
      <c r="AD76" s="130">
        <v>917105</v>
      </c>
      <c r="AE76" s="130"/>
      <c r="AF76" s="130" t="s">
        <v>2346</v>
      </c>
    </row>
    <row r="77" spans="1:32" ht="42">
      <c r="A77" s="10">
        <f t="shared" si="1"/>
        <v>76</v>
      </c>
      <c r="B77" s="19">
        <v>2230123077</v>
      </c>
      <c r="C77" s="12" t="s">
        <v>679</v>
      </c>
      <c r="D77" s="37" t="s">
        <v>680</v>
      </c>
      <c r="E77" s="43" t="s">
        <v>681</v>
      </c>
      <c r="F77" s="44" t="s">
        <v>67</v>
      </c>
      <c r="G77" s="27" t="s">
        <v>682</v>
      </c>
      <c r="H77" s="12" t="s">
        <v>141</v>
      </c>
      <c r="I77" s="132">
        <v>38332</v>
      </c>
      <c r="J77" s="16" t="s">
        <v>35</v>
      </c>
      <c r="K77" s="17" t="s">
        <v>683</v>
      </c>
      <c r="L77" s="43" t="s">
        <v>60</v>
      </c>
      <c r="M77" s="43" t="s">
        <v>437</v>
      </c>
      <c r="N77" s="49" t="s">
        <v>684</v>
      </c>
      <c r="O77" s="44" t="s">
        <v>684</v>
      </c>
      <c r="P77" s="44" t="s">
        <v>685</v>
      </c>
      <c r="Q77" s="44">
        <v>28412</v>
      </c>
      <c r="R77" s="18" t="s">
        <v>41</v>
      </c>
      <c r="S77" s="18" t="s">
        <v>52</v>
      </c>
      <c r="T77" s="21" t="str">
        <f>VLOOKUP(C77,'[1]TABEL SMA'!$C$8:$D$343,2,0)</f>
        <v>SMA NEGERI 1 BANGKINANG KOTA</v>
      </c>
      <c r="U77" s="22" t="str">
        <f>IFERROR(VLOOKUP(Table11[[#This Row],[Nama]],'[1]TABEL BEASISWA'!$B$4:$D$202,2,FALSE),"TIDAK")</f>
        <v>YA</v>
      </c>
      <c r="V77" s="23" t="str">
        <f>IFERROR(VLOOKUP(Table11[[#This Row],[Nama]],'[1]TABEL BEASISWA'!$B$4:$D$202,3,FALSE),"Tidak ada")</f>
        <v>Beasiswa 100%, Keluarga Adhyaksa (Putra Putri Jaksa)</v>
      </c>
      <c r="W77" s="24" t="str">
        <f>IFERROR(VLOOKUP(Table11[[#This Row],[Nama]],'[1]TABEL BEASISWA'!$B$4:$E$202,4,FALSE)," ")</f>
        <v>Angkatan 3</v>
      </c>
      <c r="X77" s="25"/>
      <c r="Y77" s="25"/>
      <c r="Z77" s="26"/>
      <c r="AA77" s="25"/>
      <c r="AB77" s="25"/>
      <c r="AC77" s="130">
        <v>1001001</v>
      </c>
      <c r="AD77" s="130">
        <v>140101</v>
      </c>
      <c r="AE77" s="130">
        <v>1401011013</v>
      </c>
      <c r="AF77" s="130" t="s">
        <v>2346</v>
      </c>
    </row>
    <row r="78" spans="1:32" ht="28">
      <c r="A78" s="10">
        <f t="shared" si="1"/>
        <v>77</v>
      </c>
      <c r="B78" s="19">
        <v>2230123078</v>
      </c>
      <c r="C78" s="12" t="s">
        <v>686</v>
      </c>
      <c r="D78" s="37" t="s">
        <v>687</v>
      </c>
      <c r="E78" s="43" t="s">
        <v>688</v>
      </c>
      <c r="F78" s="44" t="s">
        <v>67</v>
      </c>
      <c r="G78" s="27" t="s">
        <v>689</v>
      </c>
      <c r="H78" s="12" t="s">
        <v>454</v>
      </c>
      <c r="I78" s="132">
        <v>38638</v>
      </c>
      <c r="J78" s="16" t="s">
        <v>35</v>
      </c>
      <c r="K78" s="17" t="s">
        <v>690</v>
      </c>
      <c r="L78" s="45" t="s">
        <v>79</v>
      </c>
      <c r="M78" s="45" t="s">
        <v>37</v>
      </c>
      <c r="N78" s="46" t="s">
        <v>691</v>
      </c>
      <c r="O78" s="47" t="s">
        <v>692</v>
      </c>
      <c r="P78" s="47" t="s">
        <v>693</v>
      </c>
      <c r="Q78" s="52"/>
      <c r="R78" s="48" t="s">
        <v>41</v>
      </c>
      <c r="S78" s="18" t="s">
        <v>52</v>
      </c>
      <c r="T78" s="21" t="str">
        <f>VLOOKUP(C78,'[1]TABEL SMA'!$C$8:$D$343,2,0)</f>
        <v>SMA QUANTUM INTI INDONESIA</v>
      </c>
      <c r="U78" s="22" t="str">
        <f>IFERROR(VLOOKUP(Table11[[#This Row],[Nama]],'[1]TABEL BEASISWA'!$B$4:$D$202,2,FALSE),"TIDAK")</f>
        <v>YA</v>
      </c>
      <c r="V78" s="23" t="str">
        <f>IFERROR(VLOOKUP(Table11[[#This Row],[Nama]],'[1]TABEL BEASISWA'!$B$4:$D$202,3,FALSE),"Tidak ada")</f>
        <v>Beasiswa 50%, Berprestasi/Kurang Mampu</v>
      </c>
      <c r="W78" s="24" t="str">
        <f>IFERROR(VLOOKUP(Table11[[#This Row],[Nama]],'[1]TABEL BEASISWA'!$B$4:$E$202,4,FALSE)," ")</f>
        <v>Angkatan 3</v>
      </c>
      <c r="X78" s="25"/>
      <c r="Y78" s="25"/>
      <c r="Z78" s="26"/>
      <c r="AA78" s="25"/>
      <c r="AB78" s="25"/>
      <c r="AC78" s="130">
        <v>1001001</v>
      </c>
      <c r="AD78" s="130">
        <v>327510</v>
      </c>
      <c r="AE78" s="130">
        <v>3275101002</v>
      </c>
      <c r="AF78" s="130" t="s">
        <v>2346</v>
      </c>
    </row>
    <row r="79" spans="1:32" ht="42">
      <c r="A79" s="10">
        <f t="shared" si="1"/>
        <v>78</v>
      </c>
      <c r="B79" s="19">
        <v>2230123079</v>
      </c>
      <c r="C79" s="12" t="s">
        <v>694</v>
      </c>
      <c r="D79" s="37" t="s">
        <v>695</v>
      </c>
      <c r="E79" s="43" t="s">
        <v>696</v>
      </c>
      <c r="F79" s="44" t="s">
        <v>32</v>
      </c>
      <c r="G79" s="27" t="s">
        <v>697</v>
      </c>
      <c r="H79" s="12" t="s">
        <v>34</v>
      </c>
      <c r="I79" s="132">
        <v>38630</v>
      </c>
      <c r="J79" s="16" t="s">
        <v>35</v>
      </c>
      <c r="K79" s="17" t="s">
        <v>698</v>
      </c>
      <c r="L79" s="43" t="s">
        <v>60</v>
      </c>
      <c r="M79" s="43" t="s">
        <v>61</v>
      </c>
      <c r="N79" s="49" t="s">
        <v>699</v>
      </c>
      <c r="O79" s="44" t="s">
        <v>438</v>
      </c>
      <c r="P79" s="44" t="s">
        <v>439</v>
      </c>
      <c r="Q79" s="44">
        <v>12550</v>
      </c>
      <c r="R79" s="18" t="s">
        <v>41</v>
      </c>
      <c r="S79" s="18" t="s">
        <v>52</v>
      </c>
      <c r="T79" s="21" t="str">
        <f>VLOOKUP(C79,'[1]TABEL SMA'!$C$8:$D$343,2,0)</f>
        <v xml:space="preserve">SMA MUHAMMADIYAH 3 JAKARTA </v>
      </c>
      <c r="U79" s="22" t="str">
        <f>IFERROR(VLOOKUP(Table11[[#This Row],[Nama]],'[1]TABEL BEASISWA'!$B$4:$D$202,2,FALSE),"TIDAK")</f>
        <v>TIDAK</v>
      </c>
      <c r="V79" s="23" t="str">
        <f>IFERROR(VLOOKUP(Table11[[#This Row],[Nama]],'[1]TABEL BEASISWA'!$B$4:$D$202,3,FALSE),"Tidak ada")</f>
        <v>Tidak ada</v>
      </c>
      <c r="W79" s="24" t="str">
        <f>IFERROR(VLOOKUP(Table11[[#This Row],[Nama]],'[1]TABEL BEASISWA'!$B$4:$E$202,4,FALSE)," ")</f>
        <v xml:space="preserve"> </v>
      </c>
      <c r="X79" s="25"/>
      <c r="Y79" s="25"/>
      <c r="Z79" s="26"/>
      <c r="AA79" s="25"/>
      <c r="AB79" s="25"/>
      <c r="AC79" s="130">
        <v>1001001</v>
      </c>
      <c r="AD79" s="130">
        <v>317404</v>
      </c>
      <c r="AE79" s="130">
        <v>3174041004</v>
      </c>
      <c r="AF79" s="130" t="s">
        <v>2346</v>
      </c>
    </row>
    <row r="80" spans="1:32" ht="28">
      <c r="A80" s="10">
        <f t="shared" si="1"/>
        <v>79</v>
      </c>
      <c r="B80" s="19">
        <v>2230123080</v>
      </c>
      <c r="C80" s="12" t="s">
        <v>700</v>
      </c>
      <c r="D80" s="37" t="s">
        <v>701</v>
      </c>
      <c r="E80" s="43" t="s">
        <v>702</v>
      </c>
      <c r="F80" s="44" t="s">
        <v>32</v>
      </c>
      <c r="G80" s="27" t="s">
        <v>703</v>
      </c>
      <c r="H80" s="12" t="s">
        <v>454</v>
      </c>
      <c r="I80" s="132">
        <v>38399</v>
      </c>
      <c r="J80" s="16" t="s">
        <v>35</v>
      </c>
      <c r="K80" s="17" t="s">
        <v>704</v>
      </c>
      <c r="L80" s="45" t="s">
        <v>169</v>
      </c>
      <c r="M80" s="45" t="s">
        <v>50</v>
      </c>
      <c r="N80" s="46" t="s">
        <v>705</v>
      </c>
      <c r="O80" s="47" t="s">
        <v>706</v>
      </c>
      <c r="P80" s="47" t="s">
        <v>526</v>
      </c>
      <c r="Q80" s="47">
        <v>17424</v>
      </c>
      <c r="R80" s="48" t="s">
        <v>41</v>
      </c>
      <c r="S80" s="18" t="s">
        <v>52</v>
      </c>
      <c r="T80" s="21" t="str">
        <f>VLOOKUP(C80,'[1]TABEL SMA'!$C$8:$D$343,2,0)</f>
        <v>SMA NEGERI 6 KOTA BEKASI</v>
      </c>
      <c r="U80" s="22" t="str">
        <f>IFERROR(VLOOKUP(Table11[[#This Row],[Nama]],'[1]TABEL BEASISWA'!$B$4:$D$202,2,FALSE),"TIDAK")</f>
        <v>YA</v>
      </c>
      <c r="V80" s="23" t="str">
        <f>IFERROR(VLOOKUP(Table11[[#This Row],[Nama]],'[1]TABEL BEASISWA'!$B$4:$D$202,3,FALSE),"Tidak ada")</f>
        <v>Beasiswa 70%, Berprestasi/Kurang Mampu</v>
      </c>
      <c r="W80" s="24" t="str">
        <f>IFERROR(VLOOKUP(Table11[[#This Row],[Nama]],'[1]TABEL BEASISWA'!$B$4:$E$202,4,FALSE)," ")</f>
        <v>Angkatan 3</v>
      </c>
      <c r="X80" s="25"/>
      <c r="Y80" s="25"/>
      <c r="Z80" s="26"/>
      <c r="AA80" s="25"/>
      <c r="AB80" s="25"/>
      <c r="AC80" s="130">
        <v>1001001</v>
      </c>
      <c r="AD80" s="130">
        <v>327509</v>
      </c>
      <c r="AE80" s="130">
        <v>3275091004</v>
      </c>
      <c r="AF80" s="130" t="s">
        <v>2346</v>
      </c>
    </row>
    <row r="81" spans="1:32">
      <c r="A81" s="40">
        <f t="shared" si="1"/>
        <v>80</v>
      </c>
      <c r="B81" s="50">
        <v>2230123081</v>
      </c>
      <c r="C81" s="51" t="s">
        <v>707</v>
      </c>
      <c r="D81" s="37" t="s">
        <v>708</v>
      </c>
      <c r="E81" s="11" t="s">
        <v>709</v>
      </c>
      <c r="F81" s="19" t="s">
        <v>32</v>
      </c>
      <c r="G81" s="27" t="s">
        <v>710</v>
      </c>
      <c r="H81" s="12" t="s">
        <v>34</v>
      </c>
      <c r="I81" s="132">
        <v>36813</v>
      </c>
      <c r="J81" s="16" t="s">
        <v>35</v>
      </c>
      <c r="K81" s="17" t="s">
        <v>711</v>
      </c>
      <c r="L81" s="11" t="s">
        <v>61</v>
      </c>
      <c r="M81" s="11" t="s">
        <v>61</v>
      </c>
      <c r="N81" s="18" t="s">
        <v>712</v>
      </c>
      <c r="O81" s="19" t="s">
        <v>712</v>
      </c>
      <c r="P81" s="19" t="s">
        <v>439</v>
      </c>
      <c r="Q81" s="19">
        <v>12520</v>
      </c>
      <c r="R81" s="18" t="s">
        <v>41</v>
      </c>
      <c r="S81" s="18" t="s">
        <v>52</v>
      </c>
      <c r="T81" s="21" t="e">
        <f>VLOOKUP(C81,'[1]TABEL SMA'!$C$8:$D$343,2,0)</f>
        <v>#N/A</v>
      </c>
      <c r="U81" s="22" t="str">
        <f>IFERROR(VLOOKUP(Table11[[#This Row],[Nama]],'[1]TABEL BEASISWA'!$B$4:$D$202,2,FALSE),"TIDAK")</f>
        <v>TIDAK</v>
      </c>
      <c r="V81" s="23" t="str">
        <f>IFERROR(VLOOKUP(Table11[[#This Row],[Nama]],'[1]TABEL BEASISWA'!$B$4:$D$202,3,FALSE),"Tidak ada")</f>
        <v>Tidak ada</v>
      </c>
      <c r="W81" s="24" t="str">
        <f>IFERROR(VLOOKUP(Table11[[#This Row],[Nama]],'[1]TABEL BEASISWA'!$B$4:$E$202,4,FALSE)," ")</f>
        <v xml:space="preserve"> </v>
      </c>
      <c r="X81" s="25"/>
      <c r="Y81" s="25"/>
      <c r="Z81" s="26"/>
      <c r="AA81" s="25"/>
      <c r="AB81" s="25"/>
      <c r="AC81" s="130">
        <v>1001001</v>
      </c>
      <c r="AD81" s="130">
        <v>317404</v>
      </c>
      <c r="AE81" s="130">
        <v>3174041007</v>
      </c>
      <c r="AF81" s="130" t="s">
        <v>2346</v>
      </c>
    </row>
    <row r="82" spans="1:32" ht="42">
      <c r="A82" s="10">
        <f t="shared" si="1"/>
        <v>81</v>
      </c>
      <c r="B82" s="19">
        <v>2230123082</v>
      </c>
      <c r="C82" s="12" t="s">
        <v>713</v>
      </c>
      <c r="D82" s="37" t="s">
        <v>714</v>
      </c>
      <c r="E82" s="43" t="s">
        <v>715</v>
      </c>
      <c r="F82" s="44" t="s">
        <v>32</v>
      </c>
      <c r="G82" s="27" t="s">
        <v>716</v>
      </c>
      <c r="H82" s="12" t="s">
        <v>34</v>
      </c>
      <c r="I82" s="132">
        <v>38358</v>
      </c>
      <c r="J82" s="16" t="s">
        <v>35</v>
      </c>
      <c r="K82" s="17" t="s">
        <v>717</v>
      </c>
      <c r="L82" s="45" t="s">
        <v>143</v>
      </c>
      <c r="M82" s="45" t="s">
        <v>79</v>
      </c>
      <c r="N82" s="46" t="s">
        <v>718</v>
      </c>
      <c r="O82" s="47" t="s">
        <v>719</v>
      </c>
      <c r="P82" s="47" t="s">
        <v>565</v>
      </c>
      <c r="Q82" s="47">
        <v>13610</v>
      </c>
      <c r="R82" s="48" t="s">
        <v>41</v>
      </c>
      <c r="S82" s="18" t="s">
        <v>52</v>
      </c>
      <c r="T82" s="21" t="str">
        <f>VLOOKUP(C82,'[1]TABEL SMA'!$C$8:$D$343,2,0)</f>
        <v>PONDOK MODERN DARUSSALAM GONTOR</v>
      </c>
      <c r="U82" s="22" t="str">
        <f>IFERROR(VLOOKUP(Table11[[#This Row],[Nama]],'[1]TABEL BEASISWA'!$B$4:$D$202,2,FALSE),"TIDAK")</f>
        <v>YA</v>
      </c>
      <c r="V82" s="23" t="str">
        <f>IFERROR(VLOOKUP(Table11[[#This Row],[Nama]],'[1]TABEL BEASISWA'!$B$4:$D$202,3,FALSE),"Tidak ada")</f>
        <v>Beasiswa 50%, Berprestasi/Kurang Mampu</v>
      </c>
      <c r="W82" s="24" t="str">
        <f>IFERROR(VLOOKUP(Table11[[#This Row],[Nama]],'[1]TABEL BEASISWA'!$B$4:$E$202,4,FALSE)," ")</f>
        <v>Angkatan 3</v>
      </c>
      <c r="X82" s="25"/>
      <c r="Y82" s="25"/>
      <c r="Z82" s="26"/>
      <c r="AA82" s="25"/>
      <c r="AB82" s="25"/>
      <c r="AC82" s="130">
        <v>1001001</v>
      </c>
      <c r="AD82" s="130">
        <v>317508</v>
      </c>
      <c r="AE82" s="130">
        <v>3175081004</v>
      </c>
      <c r="AF82" s="130" t="s">
        <v>2346</v>
      </c>
    </row>
    <row r="83" spans="1:32">
      <c r="A83" s="40">
        <f t="shared" si="1"/>
        <v>82</v>
      </c>
      <c r="B83" s="50">
        <v>2230123083</v>
      </c>
      <c r="C83" s="51" t="s">
        <v>720</v>
      </c>
      <c r="D83" s="37" t="s">
        <v>721</v>
      </c>
      <c r="E83" s="11" t="s">
        <v>722</v>
      </c>
      <c r="F83" s="19" t="s">
        <v>32</v>
      </c>
      <c r="G83" s="27" t="s">
        <v>723</v>
      </c>
      <c r="H83" s="12" t="s">
        <v>34</v>
      </c>
      <c r="I83" s="132">
        <v>38378</v>
      </c>
      <c r="J83" s="16" t="s">
        <v>35</v>
      </c>
      <c r="K83" s="17" t="s">
        <v>724</v>
      </c>
      <c r="L83" s="11" t="s">
        <v>61</v>
      </c>
      <c r="M83" s="11" t="s">
        <v>437</v>
      </c>
      <c r="N83" s="18" t="s">
        <v>725</v>
      </c>
      <c r="O83" s="19" t="s">
        <v>726</v>
      </c>
      <c r="P83" s="19" t="s">
        <v>727</v>
      </c>
      <c r="Q83" s="19">
        <v>17421</v>
      </c>
      <c r="R83" s="18" t="s">
        <v>41</v>
      </c>
      <c r="S83" s="18" t="s">
        <v>52</v>
      </c>
      <c r="T83" s="21" t="e">
        <f>VLOOKUP(C83,'[1]TABEL SMA'!$C$8:$D$343,2,0)</f>
        <v>#N/A</v>
      </c>
      <c r="U83" s="22" t="str">
        <f>IFERROR(VLOOKUP(Table11[[#This Row],[Nama]],'[1]TABEL BEASISWA'!$B$4:$D$202,2,FALSE),"TIDAK")</f>
        <v>TIDAK</v>
      </c>
      <c r="V83" s="23" t="str">
        <f>IFERROR(VLOOKUP(Table11[[#This Row],[Nama]],'[1]TABEL BEASISWA'!$B$4:$D$202,3,FALSE),"Tidak ada")</f>
        <v>Tidak ada</v>
      </c>
      <c r="W83" s="24" t="str">
        <f>IFERROR(VLOOKUP(Table11[[#This Row],[Nama]],'[1]TABEL BEASISWA'!$B$4:$E$202,4,FALSE)," ")</f>
        <v xml:space="preserve"> </v>
      </c>
      <c r="X83" s="25"/>
      <c r="Y83" s="25"/>
      <c r="Z83" s="26"/>
      <c r="AA83" s="25"/>
      <c r="AB83" s="25"/>
      <c r="AC83" s="130">
        <v>1001001</v>
      </c>
      <c r="AD83" s="130"/>
      <c r="AE83" s="130"/>
      <c r="AF83" s="130" t="s">
        <v>2346</v>
      </c>
    </row>
    <row r="84" spans="1:32" ht="42">
      <c r="A84" s="10">
        <f t="shared" si="1"/>
        <v>83</v>
      </c>
      <c r="B84" s="19">
        <v>2230123084</v>
      </c>
      <c r="C84" s="12" t="s">
        <v>728</v>
      </c>
      <c r="D84" s="37" t="s">
        <v>729</v>
      </c>
      <c r="E84" s="43" t="s">
        <v>730</v>
      </c>
      <c r="F84" s="44" t="s">
        <v>67</v>
      </c>
      <c r="G84" s="27" t="s">
        <v>731</v>
      </c>
      <c r="H84" s="12" t="s">
        <v>732</v>
      </c>
      <c r="I84" s="132">
        <v>38471</v>
      </c>
      <c r="J84" s="16" t="s">
        <v>35</v>
      </c>
      <c r="K84" s="17" t="s">
        <v>733</v>
      </c>
      <c r="L84" s="45" t="s">
        <v>79</v>
      </c>
      <c r="M84" s="45" t="s">
        <v>37</v>
      </c>
      <c r="N84" s="46" t="s">
        <v>195</v>
      </c>
      <c r="O84" s="47" t="s">
        <v>195</v>
      </c>
      <c r="P84" s="47" t="s">
        <v>685</v>
      </c>
      <c r="Q84" s="47">
        <v>28411</v>
      </c>
      <c r="R84" s="48" t="s">
        <v>41</v>
      </c>
      <c r="S84" s="18" t="s">
        <v>52</v>
      </c>
      <c r="T84" s="21" t="str">
        <f>VLOOKUP(C84,'[1]TABEL SMA'!$C$8:$D$343,2,0)</f>
        <v>MAS MUALLIMIN MUHAMMADIYAH BANGKINANG</v>
      </c>
      <c r="U84" s="22" t="str">
        <f>IFERROR(VLOOKUP(Table11[[#This Row],[Nama]],'[1]TABEL BEASISWA'!$B$4:$D$202,2,FALSE),"TIDAK")</f>
        <v>YA</v>
      </c>
      <c r="V84" s="23" t="str">
        <f>IFERROR(VLOOKUP(Table11[[#This Row],[Nama]],'[1]TABEL BEASISWA'!$B$4:$D$202,3,FALSE),"Tidak ada")</f>
        <v>Beasiswa 50%, Berprestasi/Kurang Mampu</v>
      </c>
      <c r="W84" s="24" t="str">
        <f>IFERROR(VLOOKUP(Table11[[#This Row],[Nama]],'[1]TABEL BEASISWA'!$B$4:$E$202,4,FALSE)," ")</f>
        <v>Angkatan 3</v>
      </c>
      <c r="X84" s="25"/>
      <c r="Y84" s="25"/>
      <c r="Z84" s="26"/>
      <c r="AA84" s="25"/>
      <c r="AB84" s="25"/>
      <c r="AC84" s="130">
        <v>1001001</v>
      </c>
      <c r="AD84" s="130">
        <v>140101</v>
      </c>
      <c r="AE84" s="130">
        <v>1401011011</v>
      </c>
      <c r="AF84" s="130" t="s">
        <v>2346</v>
      </c>
    </row>
    <row r="85" spans="1:32" ht="28">
      <c r="A85" s="10">
        <f t="shared" si="1"/>
        <v>84</v>
      </c>
      <c r="B85" s="19">
        <v>2230123085</v>
      </c>
      <c r="C85" s="12" t="s">
        <v>734</v>
      </c>
      <c r="D85" s="37" t="s">
        <v>735</v>
      </c>
      <c r="E85" s="43" t="s">
        <v>736</v>
      </c>
      <c r="F85" s="44" t="s">
        <v>67</v>
      </c>
      <c r="G85" s="27" t="s">
        <v>737</v>
      </c>
      <c r="H85" s="12" t="s">
        <v>738</v>
      </c>
      <c r="I85" s="132">
        <v>38550</v>
      </c>
      <c r="J85" s="16" t="s">
        <v>35</v>
      </c>
      <c r="K85" s="17" t="s">
        <v>739</v>
      </c>
      <c r="L85" s="43" t="s">
        <v>37</v>
      </c>
      <c r="M85" s="43" t="s">
        <v>143</v>
      </c>
      <c r="N85" s="49" t="s">
        <v>740</v>
      </c>
      <c r="O85" s="44" t="s">
        <v>740</v>
      </c>
      <c r="P85" s="44" t="s">
        <v>741</v>
      </c>
      <c r="Q85" s="44">
        <v>37215</v>
      </c>
      <c r="R85" s="18" t="s">
        <v>41</v>
      </c>
      <c r="S85" s="18" t="s">
        <v>52</v>
      </c>
      <c r="T85" s="21" t="str">
        <f>VLOOKUP(C85,'[1]TABEL SMA'!$C$8:$D$343,2,0)</f>
        <v>SMAN 1 MUARA BUNGO</v>
      </c>
      <c r="U85" s="22" t="str">
        <f>IFERROR(VLOOKUP(Table11[[#This Row],[Nama]],'[1]TABEL BEASISWA'!$B$4:$D$202,2,FALSE),"TIDAK")</f>
        <v>YA</v>
      </c>
      <c r="V85" s="23" t="str">
        <f>IFERROR(VLOOKUP(Table11[[#This Row],[Nama]],'[1]TABEL BEASISWA'!$B$4:$D$202,3,FALSE),"Tidak ada")</f>
        <v>Beasiswa 50%, Berprestasi/Kurang Mampu</v>
      </c>
      <c r="W85" s="24" t="str">
        <f>IFERROR(VLOOKUP(Table11[[#This Row],[Nama]],'[1]TABEL BEASISWA'!$B$4:$E$202,4,FALSE)," ")</f>
        <v>Angkatan 3</v>
      </c>
      <c r="X85" s="25"/>
      <c r="Y85" s="25"/>
      <c r="Z85" s="26"/>
      <c r="AA85" s="25"/>
      <c r="AB85" s="25"/>
      <c r="AC85" s="130">
        <v>1001001</v>
      </c>
      <c r="AD85" s="130">
        <v>150813</v>
      </c>
      <c r="AE85" s="130">
        <v>1508131001</v>
      </c>
      <c r="AF85" s="130" t="s">
        <v>2346</v>
      </c>
    </row>
    <row r="86" spans="1:32" ht="28">
      <c r="A86" s="10">
        <f t="shared" si="1"/>
        <v>85</v>
      </c>
      <c r="B86" s="19">
        <v>2230123086</v>
      </c>
      <c r="C86" s="12" t="s">
        <v>742</v>
      </c>
      <c r="D86" s="37" t="s">
        <v>743</v>
      </c>
      <c r="E86" s="44">
        <v>3040475298</v>
      </c>
      <c r="F86" s="44" t="s">
        <v>67</v>
      </c>
      <c r="G86" s="27" t="s">
        <v>744</v>
      </c>
      <c r="H86" s="12" t="s">
        <v>745</v>
      </c>
      <c r="I86" s="132">
        <v>38999</v>
      </c>
      <c r="J86" s="16" t="s">
        <v>35</v>
      </c>
      <c r="K86" s="17" t="s">
        <v>746</v>
      </c>
      <c r="L86" s="45" t="s">
        <v>61</v>
      </c>
      <c r="M86" s="45" t="s">
        <v>50</v>
      </c>
      <c r="N86" s="46" t="s">
        <v>747</v>
      </c>
      <c r="O86" s="47" t="s">
        <v>747</v>
      </c>
      <c r="P86" s="47" t="s">
        <v>748</v>
      </c>
      <c r="Q86" s="47">
        <v>11730</v>
      </c>
      <c r="R86" s="48" t="s">
        <v>41</v>
      </c>
      <c r="S86" s="18" t="s">
        <v>52</v>
      </c>
      <c r="T86" s="21" t="str">
        <f>VLOOKUP(C86,'[1]TABEL SMA'!$C$8:$D$343,2,0)</f>
        <v>MA KHAERUL UMMAH</v>
      </c>
      <c r="U86" s="22" t="str">
        <f>IFERROR(VLOOKUP(Table11[[#This Row],[Nama]],'[1]TABEL BEASISWA'!$B$4:$D$202,2,FALSE),"TIDAK")</f>
        <v>YA</v>
      </c>
      <c r="V86" s="23" t="str">
        <f>IFERROR(VLOOKUP(Table11[[#This Row],[Nama]],'[1]TABEL BEASISWA'!$B$4:$D$202,3,FALSE),"Tidak ada")</f>
        <v>Beasiswa 50%, Berprestasi/Kurang Mampu</v>
      </c>
      <c r="W86" s="24" t="str">
        <f>IFERROR(VLOOKUP(Table11[[#This Row],[Nama]],'[1]TABEL BEASISWA'!$B$4:$E$202,4,FALSE)," ")</f>
        <v>Angkatan 3</v>
      </c>
      <c r="X86" s="25"/>
      <c r="Y86" s="25"/>
      <c r="Z86" s="26"/>
      <c r="AA86" s="25"/>
      <c r="AB86" s="25"/>
      <c r="AC86" s="130">
        <v>1001001</v>
      </c>
      <c r="AD86" s="130">
        <v>317201</v>
      </c>
      <c r="AE86" s="130">
        <v>3172011003</v>
      </c>
      <c r="AF86" s="130" t="s">
        <v>2346</v>
      </c>
    </row>
    <row r="87" spans="1:32" ht="28">
      <c r="A87" s="10">
        <f t="shared" si="1"/>
        <v>86</v>
      </c>
      <c r="B87" s="19">
        <v>2230123087</v>
      </c>
      <c r="C87" s="12" t="s">
        <v>749</v>
      </c>
      <c r="D87" s="37" t="s">
        <v>750</v>
      </c>
      <c r="E87" s="43" t="s">
        <v>751</v>
      </c>
      <c r="F87" s="44" t="s">
        <v>67</v>
      </c>
      <c r="G87" s="27" t="s">
        <v>752</v>
      </c>
      <c r="H87" s="12" t="s">
        <v>753</v>
      </c>
      <c r="I87" s="132">
        <v>38641</v>
      </c>
      <c r="J87" s="16" t="s">
        <v>35</v>
      </c>
      <c r="K87" s="17" t="s">
        <v>754</v>
      </c>
      <c r="L87" s="43" t="s">
        <v>169</v>
      </c>
      <c r="M87" s="43" t="s">
        <v>437</v>
      </c>
      <c r="N87" s="49" t="s">
        <v>740</v>
      </c>
      <c r="O87" s="44" t="s">
        <v>740</v>
      </c>
      <c r="P87" s="44" t="s">
        <v>741</v>
      </c>
      <c r="Q87" s="43" t="s">
        <v>755</v>
      </c>
      <c r="R87" s="18" t="s">
        <v>41</v>
      </c>
      <c r="S87" s="18" t="s">
        <v>52</v>
      </c>
      <c r="T87" s="21" t="str">
        <f>VLOOKUP(C87,'[1]TABEL SMA'!$C$8:$D$343,2,0)</f>
        <v>SMAN TITIAN TERAS JAMBI</v>
      </c>
      <c r="U87" s="22" t="str">
        <f>IFERROR(VLOOKUP(Table11[[#This Row],[Nama]],'[1]TABEL BEASISWA'!$B$4:$D$202,2,FALSE),"TIDAK")</f>
        <v>YA</v>
      </c>
      <c r="V87" s="23" t="str">
        <f>IFERROR(VLOOKUP(Table11[[#This Row],[Nama]],'[1]TABEL BEASISWA'!$B$4:$D$202,3,FALSE),"Tidak ada")</f>
        <v>Beasiswa 50%, Berprestasi/Kurang Mampu</v>
      </c>
      <c r="W87" s="24" t="str">
        <f>IFERROR(VLOOKUP(Table11[[#This Row],[Nama]],'[1]TABEL BEASISWA'!$B$4:$E$202,4,FALSE)," ")</f>
        <v>Angkatan 3</v>
      </c>
      <c r="X87" s="25"/>
      <c r="Y87" s="25"/>
      <c r="Z87" s="26"/>
      <c r="AA87" s="25"/>
      <c r="AB87" s="25"/>
      <c r="AC87" s="130">
        <v>1001001</v>
      </c>
      <c r="AD87" s="130">
        <v>150813</v>
      </c>
      <c r="AE87" s="130">
        <v>1508131001</v>
      </c>
      <c r="AF87" s="130" t="s">
        <v>2346</v>
      </c>
    </row>
    <row r="88" spans="1:32" ht="28">
      <c r="A88" s="10">
        <f t="shared" si="1"/>
        <v>87</v>
      </c>
      <c r="B88" s="19">
        <v>2230123088</v>
      </c>
      <c r="C88" s="12" t="s">
        <v>756</v>
      </c>
      <c r="D88" s="37" t="s">
        <v>757</v>
      </c>
      <c r="E88" s="43" t="s">
        <v>758</v>
      </c>
      <c r="F88" s="44" t="s">
        <v>67</v>
      </c>
      <c r="G88" s="27" t="s">
        <v>759</v>
      </c>
      <c r="H88" s="12" t="s">
        <v>760</v>
      </c>
      <c r="I88" s="132">
        <v>38488</v>
      </c>
      <c r="J88" s="16" t="s">
        <v>35</v>
      </c>
      <c r="K88" s="17" t="s">
        <v>761</v>
      </c>
      <c r="L88" s="45" t="s">
        <v>61</v>
      </c>
      <c r="M88" s="45" t="s">
        <v>143</v>
      </c>
      <c r="N88" s="46" t="s">
        <v>762</v>
      </c>
      <c r="O88" s="47" t="s">
        <v>763</v>
      </c>
      <c r="P88" s="47" t="s">
        <v>764</v>
      </c>
      <c r="Q88" s="47">
        <v>36365</v>
      </c>
      <c r="R88" s="18" t="s">
        <v>41</v>
      </c>
      <c r="S88" s="18" t="s">
        <v>52</v>
      </c>
      <c r="T88" s="21" t="str">
        <f>VLOOKUP(C88,'[1]TABEL SMA'!$C$8:$D$343,2,0)</f>
        <v>MA MA'HAD AL-ZAYTUN</v>
      </c>
      <c r="U88" s="22" t="str">
        <f>IFERROR(VLOOKUP(Table11[[#This Row],[Nama]],'[1]TABEL BEASISWA'!$B$4:$D$202,2,FALSE),"TIDAK")</f>
        <v>YA</v>
      </c>
      <c r="V88" s="23" t="str">
        <f>IFERROR(VLOOKUP(Table11[[#This Row],[Nama]],'[1]TABEL BEASISWA'!$B$4:$D$202,3,FALSE),"Tidak ada")</f>
        <v>Beasiswa 50%, Berprestasi/Kurang Mampu</v>
      </c>
      <c r="W88" s="24" t="str">
        <f>IFERROR(VLOOKUP(Table11[[#This Row],[Nama]],'[1]TABEL BEASISWA'!$B$4:$E$202,4,FALSE)," ")</f>
        <v>Angkatan 3</v>
      </c>
      <c r="X88" s="25"/>
      <c r="Y88" s="25"/>
      <c r="Z88" s="26"/>
      <c r="AA88" s="25"/>
      <c r="AB88" s="25"/>
      <c r="AC88" s="130">
        <v>1001001</v>
      </c>
      <c r="AD88" s="130">
        <v>150507</v>
      </c>
      <c r="AE88" s="130">
        <v>1505072013</v>
      </c>
      <c r="AF88" s="130" t="s">
        <v>2346</v>
      </c>
    </row>
    <row r="89" spans="1:32" ht="28">
      <c r="A89" s="10">
        <f t="shared" si="1"/>
        <v>88</v>
      </c>
      <c r="B89" s="19">
        <v>2230123089</v>
      </c>
      <c r="C89" s="12" t="s">
        <v>765</v>
      </c>
      <c r="D89" s="37" t="s">
        <v>766</v>
      </c>
      <c r="E89" s="43" t="s">
        <v>767</v>
      </c>
      <c r="F89" s="44" t="s">
        <v>67</v>
      </c>
      <c r="G89" s="27" t="s">
        <v>768</v>
      </c>
      <c r="H89" s="12" t="s">
        <v>769</v>
      </c>
      <c r="I89" s="132">
        <v>38978</v>
      </c>
      <c r="J89" s="16" t="s">
        <v>35</v>
      </c>
      <c r="K89" s="17" t="s">
        <v>770</v>
      </c>
      <c r="L89" s="43" t="s">
        <v>60</v>
      </c>
      <c r="M89" s="43" t="s">
        <v>61</v>
      </c>
      <c r="N89" s="49" t="s">
        <v>771</v>
      </c>
      <c r="O89" s="44" t="s">
        <v>772</v>
      </c>
      <c r="P89" s="44" t="s">
        <v>773</v>
      </c>
      <c r="Q89" s="44">
        <v>83352</v>
      </c>
      <c r="R89" s="18" t="s">
        <v>41</v>
      </c>
      <c r="S89" s="18" t="s">
        <v>52</v>
      </c>
      <c r="T89" s="21" t="str">
        <f>VLOOKUP(C89,'[1]TABEL SMA'!$C$8:$D$343,2,0)</f>
        <v>SMA N 1 BOBOTSARI 2023</v>
      </c>
      <c r="U89" s="22" t="str">
        <f>IFERROR(VLOOKUP(Table11[[#This Row],[Nama]],'[1]TABEL BEASISWA'!$B$4:$D$202,2,FALSE),"TIDAK")</f>
        <v>YA</v>
      </c>
      <c r="V89" s="23" t="str">
        <f>IFERROR(VLOOKUP(Table11[[#This Row],[Nama]],'[1]TABEL BEASISWA'!$B$4:$D$202,3,FALSE),"Tidak ada")</f>
        <v>Beasiswa 50%, Berprestasi/Kurang Mampu</v>
      </c>
      <c r="W89" s="24" t="str">
        <f>IFERROR(VLOOKUP(Table11[[#This Row],[Nama]],'[1]TABEL BEASISWA'!$B$4:$E$202,4,FALSE)," ")</f>
        <v>Angkatan 3</v>
      </c>
      <c r="X89" s="25"/>
      <c r="Y89" s="25"/>
      <c r="Z89" s="26"/>
      <c r="AA89" s="25"/>
      <c r="AB89" s="25"/>
      <c r="AC89" s="130">
        <v>1001001</v>
      </c>
      <c r="AD89" s="130">
        <v>330308</v>
      </c>
      <c r="AE89" s="130">
        <v>3303082016</v>
      </c>
      <c r="AF89" s="130" t="s">
        <v>2346</v>
      </c>
    </row>
    <row r="90" spans="1:32" ht="28">
      <c r="A90" s="10">
        <f t="shared" si="1"/>
        <v>89</v>
      </c>
      <c r="B90" s="19">
        <v>2230123090</v>
      </c>
      <c r="C90" s="12" t="s">
        <v>774</v>
      </c>
      <c r="D90" s="37" t="s">
        <v>775</v>
      </c>
      <c r="E90" s="43" t="s">
        <v>776</v>
      </c>
      <c r="F90" s="44" t="s">
        <v>32</v>
      </c>
      <c r="G90" s="27" t="s">
        <v>777</v>
      </c>
      <c r="H90" s="12" t="s">
        <v>778</v>
      </c>
      <c r="I90" s="132">
        <v>37899</v>
      </c>
      <c r="J90" s="16" t="s">
        <v>35</v>
      </c>
      <c r="K90" s="17" t="s">
        <v>779</v>
      </c>
      <c r="L90" s="45" t="s">
        <v>780</v>
      </c>
      <c r="M90" s="52"/>
      <c r="N90" s="46" t="s">
        <v>781</v>
      </c>
      <c r="O90" s="47" t="s">
        <v>781</v>
      </c>
      <c r="P90" s="46" t="s">
        <v>782</v>
      </c>
      <c r="Q90" s="52"/>
      <c r="R90" s="18" t="s">
        <v>41</v>
      </c>
      <c r="S90" s="18" t="s">
        <v>52</v>
      </c>
      <c r="T90" s="21" t="str">
        <f>VLOOKUP(C90,'[1]TABEL SMA'!$C$8:$D$343,2,0)</f>
        <v>SMKN 2 PALU</v>
      </c>
      <c r="U90" s="22" t="str">
        <f>IFERROR(VLOOKUP(Table11[[#This Row],[Nama]],'[1]TABEL BEASISWA'!$B$4:$D$202,2,FALSE),"TIDAK")</f>
        <v>YA</v>
      </c>
      <c r="V90" s="23" t="str">
        <f>IFERROR(VLOOKUP(Table11[[#This Row],[Nama]],'[1]TABEL BEASISWA'!$B$4:$D$202,3,FALSE),"Tidak ada")</f>
        <v>Beasiswa 50%, Berprestasi/Kurang Mampu</v>
      </c>
      <c r="W90" s="24" t="str">
        <f>IFERROR(VLOOKUP(Table11[[#This Row],[Nama]],'[1]TABEL BEASISWA'!$B$4:$E$202,4,FALSE)," ")</f>
        <v>Angkatan 3</v>
      </c>
      <c r="X90" s="25"/>
      <c r="Y90" s="25"/>
      <c r="Z90" s="26"/>
      <c r="AA90" s="25"/>
      <c r="AB90" s="25"/>
      <c r="AC90" s="130">
        <v>1001001</v>
      </c>
      <c r="AD90" s="130">
        <v>647105</v>
      </c>
      <c r="AE90" s="130"/>
      <c r="AF90" s="130" t="s">
        <v>2346</v>
      </c>
    </row>
    <row r="91" spans="1:32" ht="28">
      <c r="A91" s="10">
        <f t="shared" si="1"/>
        <v>90</v>
      </c>
      <c r="B91" s="19">
        <v>2230123091</v>
      </c>
      <c r="C91" s="12" t="s">
        <v>783</v>
      </c>
      <c r="D91" s="37" t="s">
        <v>784</v>
      </c>
      <c r="E91" s="43" t="s">
        <v>785</v>
      </c>
      <c r="F91" s="44" t="s">
        <v>32</v>
      </c>
      <c r="G91" s="27" t="s">
        <v>786</v>
      </c>
      <c r="H91" s="12" t="s">
        <v>34</v>
      </c>
      <c r="I91" s="132">
        <v>38245</v>
      </c>
      <c r="J91" s="16" t="s">
        <v>97</v>
      </c>
      <c r="K91" s="17" t="s">
        <v>787</v>
      </c>
      <c r="L91" s="43" t="s">
        <v>143</v>
      </c>
      <c r="M91" s="43" t="s">
        <v>50</v>
      </c>
      <c r="N91" s="49" t="s">
        <v>125</v>
      </c>
      <c r="O91" s="44" t="s">
        <v>125</v>
      </c>
      <c r="P91" s="44" t="s">
        <v>126</v>
      </c>
      <c r="Q91" s="44">
        <v>12440</v>
      </c>
      <c r="R91" s="18" t="s">
        <v>41</v>
      </c>
      <c r="S91" s="18" t="s">
        <v>52</v>
      </c>
      <c r="T91" s="21" t="str">
        <f>VLOOKUP(C91,'[1]TABEL SMA'!$C$8:$D$343,2,0)</f>
        <v>SMAN 66 JAKARTA SELATAN</v>
      </c>
      <c r="U91" s="22" t="str">
        <f>IFERROR(VLOOKUP(Table11[[#This Row],[Nama]],'[1]TABEL BEASISWA'!$B$4:$D$202,2,FALSE),"TIDAK")</f>
        <v>YA</v>
      </c>
      <c r="V91" s="23" t="str">
        <f>IFERROR(VLOOKUP(Table11[[#This Row],[Nama]],'[1]TABEL BEASISWA'!$B$4:$D$202,3,FALSE),"Tidak ada")</f>
        <v>Beasiswa 50%, Berprestasi/Kurang Mampu</v>
      </c>
      <c r="W91" s="24" t="str">
        <f>IFERROR(VLOOKUP(Table11[[#This Row],[Nama]],'[1]TABEL BEASISWA'!$B$4:$E$202,4,FALSE)," ")</f>
        <v>Angkatan 3</v>
      </c>
      <c r="X91" s="25"/>
      <c r="Y91" s="25"/>
      <c r="Z91" s="26"/>
      <c r="AA91" s="25"/>
      <c r="AB91" s="25"/>
      <c r="AC91" s="130">
        <v>1001002</v>
      </c>
      <c r="AD91" s="130">
        <v>317406</v>
      </c>
      <c r="AE91" s="130">
        <v>3174061002</v>
      </c>
      <c r="AF91" s="130" t="s">
        <v>2346</v>
      </c>
    </row>
    <row r="92" spans="1:32" ht="28">
      <c r="A92" s="10">
        <f t="shared" si="1"/>
        <v>91</v>
      </c>
      <c r="B92" s="19">
        <v>2230123092</v>
      </c>
      <c r="C92" s="12" t="s">
        <v>788</v>
      </c>
      <c r="D92" s="37" t="s">
        <v>789</v>
      </c>
      <c r="E92" s="43" t="s">
        <v>790</v>
      </c>
      <c r="F92" s="44" t="s">
        <v>67</v>
      </c>
      <c r="G92" s="27" t="s">
        <v>791</v>
      </c>
      <c r="H92" s="12" t="s">
        <v>792</v>
      </c>
      <c r="I92" s="132">
        <v>38332</v>
      </c>
      <c r="J92" s="16" t="s">
        <v>35</v>
      </c>
      <c r="K92" s="17" t="s">
        <v>793</v>
      </c>
      <c r="L92" s="45" t="s">
        <v>143</v>
      </c>
      <c r="M92" s="45" t="s">
        <v>169</v>
      </c>
      <c r="N92" s="46" t="s">
        <v>794</v>
      </c>
      <c r="O92" s="47" t="s">
        <v>794</v>
      </c>
      <c r="P92" s="47" t="s">
        <v>795</v>
      </c>
      <c r="Q92" s="47">
        <v>41351</v>
      </c>
      <c r="R92" s="18" t="s">
        <v>41</v>
      </c>
      <c r="S92" s="18" t="s">
        <v>52</v>
      </c>
      <c r="T92" s="21" t="str">
        <f>VLOOKUP(C92,'[1]TABEL SMA'!$C$8:$D$343,2,0)</f>
        <v xml:space="preserve">SMA NEGERI 5 KERAWANG </v>
      </c>
      <c r="U92" s="22" t="str">
        <f>IFERROR(VLOOKUP(Table11[[#This Row],[Nama]],'[1]TABEL BEASISWA'!$B$4:$D$202,2,FALSE),"TIDAK")</f>
        <v>YA</v>
      </c>
      <c r="V92" s="23" t="str">
        <f>IFERROR(VLOOKUP(Table11[[#This Row],[Nama]],'[1]TABEL BEASISWA'!$B$4:$D$202,3,FALSE),"Tidak ada")</f>
        <v>Beasiswa 50%, Berprestasi/Kurang Mampu</v>
      </c>
      <c r="W92" s="24" t="str">
        <f>IFERROR(VLOOKUP(Table11[[#This Row],[Nama]],'[1]TABEL BEASISWA'!$B$4:$E$202,4,FALSE)," ")</f>
        <v>Angkatan 3</v>
      </c>
      <c r="X92" s="25"/>
      <c r="Y92" s="25"/>
      <c r="Z92" s="26"/>
      <c r="AA92" s="25"/>
      <c r="AB92" s="25"/>
      <c r="AC92" s="130">
        <v>1001001</v>
      </c>
      <c r="AD92" s="130">
        <v>321501</v>
      </c>
      <c r="AE92" s="130">
        <v>3215011012</v>
      </c>
      <c r="AF92" s="130" t="s">
        <v>2346</v>
      </c>
    </row>
    <row r="93" spans="1:32" ht="28">
      <c r="A93" s="10">
        <f t="shared" si="1"/>
        <v>92</v>
      </c>
      <c r="B93" s="19">
        <v>2230123093</v>
      </c>
      <c r="C93" s="12" t="s">
        <v>796</v>
      </c>
      <c r="D93" s="37" t="s">
        <v>797</v>
      </c>
      <c r="E93" s="43" t="s">
        <v>798</v>
      </c>
      <c r="F93" s="44" t="s">
        <v>67</v>
      </c>
      <c r="G93" s="27" t="s">
        <v>799</v>
      </c>
      <c r="H93" s="12" t="s">
        <v>294</v>
      </c>
      <c r="I93" s="132">
        <v>37728</v>
      </c>
      <c r="J93" s="16" t="s">
        <v>35</v>
      </c>
      <c r="K93" s="17" t="s">
        <v>800</v>
      </c>
      <c r="L93" s="43" t="s">
        <v>79</v>
      </c>
      <c r="M93" s="43" t="s">
        <v>61</v>
      </c>
      <c r="N93" s="49" t="s">
        <v>801</v>
      </c>
      <c r="O93" s="44" t="s">
        <v>801</v>
      </c>
      <c r="P93" s="44" t="s">
        <v>802</v>
      </c>
      <c r="Q93" s="44">
        <v>54451</v>
      </c>
      <c r="R93" s="18" t="s">
        <v>41</v>
      </c>
      <c r="S93" s="18" t="s">
        <v>52</v>
      </c>
      <c r="T93" s="21" t="str">
        <f>VLOOKUP(C93,'[1]TABEL SMA'!$C$8:$D$343,2,0)</f>
        <v>SMK NEGERI 1 GOMBONG</v>
      </c>
      <c r="U93" s="22" t="str">
        <f>IFERROR(VLOOKUP(Table11[[#This Row],[Nama]],'[1]TABEL BEASISWA'!$B$4:$D$202,2,FALSE),"TIDAK")</f>
        <v>TIDAK</v>
      </c>
      <c r="V93" s="23" t="str">
        <f>IFERROR(VLOOKUP(Table11[[#This Row],[Nama]],'[1]TABEL BEASISWA'!$B$4:$D$202,3,FALSE),"Tidak ada")</f>
        <v>Tidak ada</v>
      </c>
      <c r="W93" s="24" t="str">
        <f>IFERROR(VLOOKUP(Table11[[#This Row],[Nama]],'[1]TABEL BEASISWA'!$B$4:$E$202,4,FALSE)," ")</f>
        <v xml:space="preserve"> </v>
      </c>
      <c r="X93" s="25"/>
      <c r="Y93" s="25"/>
      <c r="Z93" s="26"/>
      <c r="AA93" s="25"/>
      <c r="AB93" s="25"/>
      <c r="AC93" s="130">
        <v>1001001</v>
      </c>
      <c r="AD93" s="130">
        <v>330519</v>
      </c>
      <c r="AE93" s="130">
        <v>3305192002</v>
      </c>
      <c r="AF93" s="130" t="s">
        <v>2346</v>
      </c>
    </row>
    <row r="94" spans="1:32" ht="28">
      <c r="A94" s="10">
        <f t="shared" si="1"/>
        <v>93</v>
      </c>
      <c r="B94" s="19">
        <v>2230123094</v>
      </c>
      <c r="C94" s="12" t="s">
        <v>803</v>
      </c>
      <c r="D94" s="37" t="s">
        <v>804</v>
      </c>
      <c r="E94" s="43" t="s">
        <v>805</v>
      </c>
      <c r="F94" s="44" t="s">
        <v>32</v>
      </c>
      <c r="G94" s="27" t="s">
        <v>806</v>
      </c>
      <c r="H94" s="12" t="s">
        <v>807</v>
      </c>
      <c r="I94" s="132">
        <v>38380</v>
      </c>
      <c r="J94" s="16" t="s">
        <v>97</v>
      </c>
      <c r="K94" s="17" t="s">
        <v>808</v>
      </c>
      <c r="L94" s="45" t="s">
        <v>60</v>
      </c>
      <c r="M94" s="45" t="s">
        <v>79</v>
      </c>
      <c r="N94" s="46" t="s">
        <v>809</v>
      </c>
      <c r="O94" s="47" t="s">
        <v>809</v>
      </c>
      <c r="P94" s="47" t="s">
        <v>810</v>
      </c>
      <c r="Q94" s="47">
        <v>98418</v>
      </c>
      <c r="R94" s="18" t="s">
        <v>41</v>
      </c>
      <c r="S94" s="18" t="s">
        <v>52</v>
      </c>
      <c r="T94" s="21" t="str">
        <f>VLOOKUP(C94,'[1]TABEL SMA'!$C$8:$D$343,2,0)</f>
        <v>SMA NEGERI 3 KOTA SORONG</v>
      </c>
      <c r="U94" s="22" t="str">
        <f>IFERROR(VLOOKUP(Table11[[#This Row],[Nama]],'[1]TABEL BEASISWA'!$B$4:$D$202,2,FALSE),"TIDAK")</f>
        <v>TIDAK</v>
      </c>
      <c r="V94" s="23" t="str">
        <f>IFERROR(VLOOKUP(Table11[[#This Row],[Nama]],'[1]TABEL BEASISWA'!$B$4:$D$202,3,FALSE),"Tidak ada")</f>
        <v>Tidak ada</v>
      </c>
      <c r="W94" s="24" t="str">
        <f>IFERROR(VLOOKUP(Table11[[#This Row],[Nama]],'[1]TABEL BEASISWA'!$B$4:$E$202,4,FALSE)," ")</f>
        <v xml:space="preserve"> </v>
      </c>
      <c r="X94" s="25"/>
      <c r="Y94" s="25"/>
      <c r="Z94" s="26"/>
      <c r="AA94" s="25"/>
      <c r="AB94" s="25"/>
      <c r="AC94" s="130">
        <v>1001002</v>
      </c>
      <c r="AD94" s="130">
        <v>967102</v>
      </c>
      <c r="AE94" s="130"/>
      <c r="AF94" s="130" t="s">
        <v>2346</v>
      </c>
    </row>
    <row r="95" spans="1:32">
      <c r="A95" s="10">
        <f t="shared" si="1"/>
        <v>94</v>
      </c>
      <c r="B95" s="19">
        <v>2230123095</v>
      </c>
      <c r="C95" s="12" t="s">
        <v>811</v>
      </c>
      <c r="D95" s="37" t="s">
        <v>812</v>
      </c>
      <c r="E95" s="43" t="s">
        <v>813</v>
      </c>
      <c r="F95" s="44" t="s">
        <v>32</v>
      </c>
      <c r="G95" s="27" t="s">
        <v>814</v>
      </c>
      <c r="H95" s="12" t="s">
        <v>58</v>
      </c>
      <c r="I95" s="132">
        <v>38355</v>
      </c>
      <c r="J95" s="16" t="s">
        <v>35</v>
      </c>
      <c r="K95" s="17" t="s">
        <v>815</v>
      </c>
      <c r="L95" s="53"/>
      <c r="M95" s="53"/>
      <c r="N95" s="49" t="s">
        <v>816</v>
      </c>
      <c r="O95" s="44" t="s">
        <v>817</v>
      </c>
      <c r="P95" s="44" t="s">
        <v>58</v>
      </c>
      <c r="Q95" s="44">
        <v>16459</v>
      </c>
      <c r="R95" s="18" t="s">
        <v>41</v>
      </c>
      <c r="S95" s="18" t="s">
        <v>52</v>
      </c>
      <c r="T95" s="21" t="str">
        <f>VLOOKUP(C95,'[1]TABEL SMA'!$C$8:$D$343,2,0)</f>
        <v>SMAN 8 DEPOK</v>
      </c>
      <c r="U95" s="22" t="str">
        <f>IFERROR(VLOOKUP(Table11[[#This Row],[Nama]],'[1]TABEL BEASISWA'!$B$4:$D$202,2,FALSE),"TIDAK")</f>
        <v>TIDAK</v>
      </c>
      <c r="V95" s="23" t="str">
        <f>IFERROR(VLOOKUP(Table11[[#This Row],[Nama]],'[1]TABEL BEASISWA'!$B$4:$D$202,3,FALSE),"Tidak ada")</f>
        <v>Tidak ada</v>
      </c>
      <c r="W95" s="24" t="str">
        <f>IFERROR(VLOOKUP(Table11[[#This Row],[Nama]],'[1]TABEL BEASISWA'!$B$4:$E$202,4,FALSE)," ")</f>
        <v xml:space="preserve"> </v>
      </c>
      <c r="X95" s="25"/>
      <c r="Y95" s="25"/>
      <c r="Z95" s="26"/>
      <c r="AA95" s="25"/>
      <c r="AB95" s="25"/>
      <c r="AC95" s="130">
        <v>1001001</v>
      </c>
      <c r="AD95" s="130">
        <v>320931</v>
      </c>
      <c r="AE95" s="130"/>
      <c r="AF95" s="130" t="s">
        <v>2346</v>
      </c>
    </row>
    <row r="96" spans="1:32" ht="28">
      <c r="A96" s="10">
        <f t="shared" si="1"/>
        <v>95</v>
      </c>
      <c r="B96" s="19">
        <v>2230123096</v>
      </c>
      <c r="C96" s="12" t="s">
        <v>818</v>
      </c>
      <c r="D96" s="37" t="s">
        <v>819</v>
      </c>
      <c r="E96" s="43" t="s">
        <v>820</v>
      </c>
      <c r="F96" s="44" t="s">
        <v>32</v>
      </c>
      <c r="G96" s="27" t="s">
        <v>821</v>
      </c>
      <c r="H96" s="12" t="s">
        <v>822</v>
      </c>
      <c r="I96" s="132">
        <v>38509</v>
      </c>
      <c r="J96" s="16" t="s">
        <v>35</v>
      </c>
      <c r="K96" s="17" t="s">
        <v>823</v>
      </c>
      <c r="L96" s="45" t="s">
        <v>50</v>
      </c>
      <c r="M96" s="45" t="s">
        <v>50</v>
      </c>
      <c r="N96" s="46" t="s">
        <v>824</v>
      </c>
      <c r="O96" s="47" t="s">
        <v>825</v>
      </c>
      <c r="P96" s="47" t="s">
        <v>825</v>
      </c>
      <c r="Q96" s="45" t="s">
        <v>826</v>
      </c>
      <c r="R96" s="18" t="s">
        <v>41</v>
      </c>
      <c r="S96" s="18" t="s">
        <v>52</v>
      </c>
      <c r="T96" s="21" t="str">
        <f>VLOOKUP(C96,'[1]TABEL SMA'!$C$8:$D$343,2,0)</f>
        <v>SMA NEGERI 1 KOTA SERANG</v>
      </c>
      <c r="U96" s="22" t="str">
        <f>IFERROR(VLOOKUP(Table11[[#This Row],[Nama]],'[1]TABEL BEASISWA'!$B$4:$D$202,2,FALSE),"TIDAK")</f>
        <v>TIDAK</v>
      </c>
      <c r="V96" s="23" t="str">
        <f>IFERROR(VLOOKUP(Table11[[#This Row],[Nama]],'[1]TABEL BEASISWA'!$B$4:$D$202,3,FALSE),"Tidak ada")</f>
        <v>Tidak ada</v>
      </c>
      <c r="W96" s="24" t="str">
        <f>IFERROR(VLOOKUP(Table11[[#This Row],[Nama]],'[1]TABEL BEASISWA'!$B$4:$E$202,4,FALSE)," ")</f>
        <v xml:space="preserve"> </v>
      </c>
      <c r="X96" s="25"/>
      <c r="Y96" s="25"/>
      <c r="Z96" s="26"/>
      <c r="AA96" s="25"/>
      <c r="AB96" s="25"/>
      <c r="AC96" s="130">
        <v>1001001</v>
      </c>
      <c r="AD96" s="130">
        <v>360112</v>
      </c>
      <c r="AE96" s="130">
        <v>3601122002</v>
      </c>
      <c r="AF96" s="130" t="s">
        <v>2346</v>
      </c>
    </row>
    <row r="97" spans="1:32" ht="42">
      <c r="A97" s="10">
        <f t="shared" si="1"/>
        <v>96</v>
      </c>
      <c r="B97" s="19">
        <v>2230123097</v>
      </c>
      <c r="C97" s="12" t="s">
        <v>827</v>
      </c>
      <c r="D97" s="37" t="s">
        <v>828</v>
      </c>
      <c r="E97" s="43" t="s">
        <v>829</v>
      </c>
      <c r="F97" s="44" t="s">
        <v>32</v>
      </c>
      <c r="G97" s="27" t="s">
        <v>830</v>
      </c>
      <c r="H97" s="12" t="s">
        <v>549</v>
      </c>
      <c r="I97" s="132">
        <v>38401</v>
      </c>
      <c r="J97" s="16" t="s">
        <v>35</v>
      </c>
      <c r="K97" s="17" t="s">
        <v>831</v>
      </c>
      <c r="L97" s="43" t="s">
        <v>79</v>
      </c>
      <c r="M97" s="43" t="s">
        <v>338</v>
      </c>
      <c r="N97" s="49" t="s">
        <v>832</v>
      </c>
      <c r="O97" s="44" t="s">
        <v>833</v>
      </c>
      <c r="P97" s="44" t="s">
        <v>832</v>
      </c>
      <c r="Q97" s="44">
        <v>15417</v>
      </c>
      <c r="R97" s="18" t="s">
        <v>41</v>
      </c>
      <c r="S97" s="18" t="s">
        <v>52</v>
      </c>
      <c r="T97" s="21" t="str">
        <f>VLOOKUP(C97,'[1]TABEL SMA'!$C$8:$D$343,2,0)</f>
        <v>SMA NEGERI 6 KOTA TANGERANG SELATAN</v>
      </c>
      <c r="U97" s="22" t="str">
        <f>IFERROR(VLOOKUP(Table11[[#This Row],[Nama]],'[1]TABEL BEASISWA'!$B$4:$D$202,2,FALSE),"TIDAK")</f>
        <v>TIDAK</v>
      </c>
      <c r="V97" s="23" t="str">
        <f>IFERROR(VLOOKUP(Table11[[#This Row],[Nama]],'[1]TABEL BEASISWA'!$B$4:$D$202,3,FALSE),"Tidak ada")</f>
        <v>Tidak ada</v>
      </c>
      <c r="W97" s="24" t="str">
        <f>IFERROR(VLOOKUP(Table11[[#This Row],[Nama]],'[1]TABEL BEASISWA'!$B$4:$E$202,4,FALSE)," ")</f>
        <v xml:space="preserve"> </v>
      </c>
      <c r="X97" s="25"/>
      <c r="Y97" s="25"/>
      <c r="Z97" s="26"/>
      <c r="AA97" s="25"/>
      <c r="AB97" s="25"/>
      <c r="AC97" s="130">
        <v>1001001</v>
      </c>
      <c r="AD97" s="130">
        <v>367406</v>
      </c>
      <c r="AE97" s="130">
        <v>3674061008</v>
      </c>
      <c r="AF97" s="130" t="s">
        <v>2346</v>
      </c>
    </row>
    <row r="98" spans="1:32">
      <c r="A98" s="10">
        <f t="shared" si="1"/>
        <v>97</v>
      </c>
      <c r="B98" s="19">
        <v>2230123098</v>
      </c>
      <c r="C98" s="12" t="s">
        <v>834</v>
      </c>
      <c r="D98" s="37" t="s">
        <v>835</v>
      </c>
      <c r="E98" s="43" t="s">
        <v>836</v>
      </c>
      <c r="F98" s="44" t="s">
        <v>32</v>
      </c>
      <c r="G98" s="27" t="s">
        <v>837</v>
      </c>
      <c r="H98" s="12" t="s">
        <v>34</v>
      </c>
      <c r="I98" s="132">
        <v>38086</v>
      </c>
      <c r="J98" s="16" t="s">
        <v>35</v>
      </c>
      <c r="K98" s="17" t="s">
        <v>838</v>
      </c>
      <c r="L98" s="45" t="s">
        <v>480</v>
      </c>
      <c r="M98" s="45" t="s">
        <v>143</v>
      </c>
      <c r="N98" s="46" t="s">
        <v>565</v>
      </c>
      <c r="O98" s="47" t="s">
        <v>565</v>
      </c>
      <c r="P98" s="47" t="s">
        <v>839</v>
      </c>
      <c r="Q98" s="47">
        <v>13560</v>
      </c>
      <c r="R98" s="18" t="s">
        <v>41</v>
      </c>
      <c r="S98" s="18" t="s">
        <v>52</v>
      </c>
      <c r="T98" s="21" t="str">
        <f>VLOOKUP(C98,'[1]TABEL SMA'!$C$8:$D$343,2,0)</f>
        <v>SMAN 9 JAKARTA</v>
      </c>
      <c r="U98" s="22" t="str">
        <f>IFERROR(VLOOKUP(Table11[[#This Row],[Nama]],'[1]TABEL BEASISWA'!$B$4:$D$202,2,FALSE),"TIDAK")</f>
        <v>TIDAK</v>
      </c>
      <c r="V98" s="23" t="str">
        <f>IFERROR(VLOOKUP(Table11[[#This Row],[Nama]],'[1]TABEL BEASISWA'!$B$4:$D$202,3,FALSE),"Tidak ada")</f>
        <v>Tidak ada</v>
      </c>
      <c r="W98" s="24" t="str">
        <f>IFERROR(VLOOKUP(Table11[[#This Row],[Nama]],'[1]TABEL BEASISWA'!$B$4:$E$202,4,FALSE)," ")</f>
        <v xml:space="preserve"> </v>
      </c>
      <c r="X98" s="25"/>
      <c r="Y98" s="25"/>
      <c r="Z98" s="26"/>
      <c r="AA98" s="25"/>
      <c r="AB98" s="25"/>
      <c r="AC98" s="130">
        <v>1001001</v>
      </c>
      <c r="AD98" s="130"/>
      <c r="AE98" s="130"/>
      <c r="AF98" s="130" t="s">
        <v>2346</v>
      </c>
    </row>
    <row r="99" spans="1:32">
      <c r="A99" s="10">
        <f t="shared" si="1"/>
        <v>98</v>
      </c>
      <c r="B99" s="19">
        <v>2230123099</v>
      </c>
      <c r="C99" s="12" t="s">
        <v>840</v>
      </c>
      <c r="D99" s="37" t="s">
        <v>841</v>
      </c>
      <c r="E99" s="44">
        <v>1465080000</v>
      </c>
      <c r="F99" s="44" t="s">
        <v>67</v>
      </c>
      <c r="G99" s="27" t="s">
        <v>842</v>
      </c>
      <c r="H99" s="12" t="s">
        <v>843</v>
      </c>
      <c r="I99" s="132">
        <v>32537</v>
      </c>
      <c r="J99" s="16" t="s">
        <v>35</v>
      </c>
      <c r="K99" s="17" t="s">
        <v>844</v>
      </c>
      <c r="L99" s="43" t="s">
        <v>60</v>
      </c>
      <c r="M99" s="43" t="s">
        <v>480</v>
      </c>
      <c r="N99" s="49" t="s">
        <v>817</v>
      </c>
      <c r="O99" s="44" t="s">
        <v>817</v>
      </c>
      <c r="P99" s="44" t="s">
        <v>58</v>
      </c>
      <c r="Q99" s="44">
        <v>16457</v>
      </c>
      <c r="R99" s="18" t="s">
        <v>41</v>
      </c>
      <c r="S99" s="18" t="s">
        <v>365</v>
      </c>
      <c r="T99" s="21" t="str">
        <f>VLOOKUP(C99,'[1]TABEL SMA'!$C$8:$D$343,2,0)</f>
        <v>MAN DARUL AMSOR</v>
      </c>
      <c r="U99" s="22" t="str">
        <f>IFERROR(VLOOKUP(Table11[[#This Row],[Nama]],'[1]TABEL BEASISWA'!$B$4:$D$202,2,FALSE),"TIDAK")</f>
        <v>TIDAK</v>
      </c>
      <c r="V99" s="23" t="str">
        <f>IFERROR(VLOOKUP(Table11[[#This Row],[Nama]],'[1]TABEL BEASISWA'!$B$4:$D$202,3,FALSE),"Tidak ada")</f>
        <v>Tidak ada</v>
      </c>
      <c r="W99" s="24" t="str">
        <f>IFERROR(VLOOKUP(Table11[[#This Row],[Nama]],'[1]TABEL BEASISWA'!$B$4:$E$202,4,FALSE)," ")</f>
        <v xml:space="preserve"> </v>
      </c>
      <c r="X99" s="25"/>
      <c r="Y99" s="25"/>
      <c r="Z99" s="26"/>
      <c r="AA99" s="25"/>
      <c r="AB99" s="25"/>
      <c r="AC99" s="130">
        <v>1001001</v>
      </c>
      <c r="AD99" s="130">
        <v>320931</v>
      </c>
      <c r="AE99" s="130"/>
      <c r="AF99" s="130" t="s">
        <v>2347</v>
      </c>
    </row>
    <row r="100" spans="1:32" ht="28">
      <c r="A100" s="10">
        <f t="shared" si="1"/>
        <v>99</v>
      </c>
      <c r="B100" s="19">
        <v>2230123100</v>
      </c>
      <c r="C100" s="12" t="s">
        <v>845</v>
      </c>
      <c r="D100" s="37" t="s">
        <v>846</v>
      </c>
      <c r="E100" s="44">
        <v>1301597050</v>
      </c>
      <c r="F100" s="44" t="s">
        <v>67</v>
      </c>
      <c r="G100" s="27" t="s">
        <v>847</v>
      </c>
      <c r="H100" s="12" t="s">
        <v>848</v>
      </c>
      <c r="I100" s="132">
        <v>24477</v>
      </c>
      <c r="J100" s="16" t="s">
        <v>35</v>
      </c>
      <c r="K100" s="17" t="s">
        <v>849</v>
      </c>
      <c r="L100" s="45" t="s">
        <v>61</v>
      </c>
      <c r="M100" s="45" t="s">
        <v>143</v>
      </c>
      <c r="N100" s="46" t="s">
        <v>39</v>
      </c>
      <c r="O100" s="47" t="s">
        <v>39</v>
      </c>
      <c r="P100" s="47" t="s">
        <v>40</v>
      </c>
      <c r="Q100" s="47">
        <v>13820</v>
      </c>
      <c r="R100" s="18" t="s">
        <v>41</v>
      </c>
      <c r="S100" s="18" t="s">
        <v>850</v>
      </c>
      <c r="T100" s="21" t="str">
        <f>VLOOKUP(C100,'[1]TABEL SMA'!$C$8:$D$343,2,0)</f>
        <v xml:space="preserve">SMAN 36 JAKARTA TIMUR </v>
      </c>
      <c r="U100" s="22" t="str">
        <f>IFERROR(VLOOKUP(Table11[[#This Row],[Nama]],'[1]TABEL BEASISWA'!$B$4:$D$202,2,FALSE),"TIDAK")</f>
        <v>TIDAK</v>
      </c>
      <c r="V100" s="23" t="str">
        <f>IFERROR(VLOOKUP(Table11[[#This Row],[Nama]],'[1]TABEL BEASISWA'!$B$4:$D$202,3,FALSE),"Tidak ada")</f>
        <v>Tidak ada</v>
      </c>
      <c r="W100" s="24" t="str">
        <f>IFERROR(VLOOKUP(Table11[[#This Row],[Nama]],'[1]TABEL BEASISWA'!$B$4:$E$202,4,FALSE)," ")</f>
        <v xml:space="preserve"> </v>
      </c>
      <c r="X100" s="25"/>
      <c r="Y100" s="25"/>
      <c r="Z100" s="26"/>
      <c r="AA100" s="25"/>
      <c r="AB100" s="25"/>
      <c r="AC100" s="130">
        <v>1001001</v>
      </c>
      <c r="AD100" s="130">
        <v>327607</v>
      </c>
      <c r="AE100" s="130"/>
      <c r="AF100" s="130" t="s">
        <v>2348</v>
      </c>
    </row>
    <row r="101" spans="1:32" ht="28">
      <c r="A101" s="10">
        <f t="shared" si="1"/>
        <v>100</v>
      </c>
      <c r="B101" s="19">
        <v>2230123101</v>
      </c>
      <c r="C101" s="12" t="s">
        <v>851</v>
      </c>
      <c r="D101" s="37" t="s">
        <v>852</v>
      </c>
      <c r="E101" s="43" t="s">
        <v>853</v>
      </c>
      <c r="F101" s="44" t="s">
        <v>32</v>
      </c>
      <c r="G101" s="27" t="s">
        <v>854</v>
      </c>
      <c r="H101" s="12" t="s">
        <v>855</v>
      </c>
      <c r="I101" s="132">
        <v>34719</v>
      </c>
      <c r="J101" s="54" t="s">
        <v>856</v>
      </c>
      <c r="K101" s="17" t="s">
        <v>857</v>
      </c>
      <c r="L101" s="43" t="s">
        <v>489</v>
      </c>
      <c r="M101" s="43" t="s">
        <v>858</v>
      </c>
      <c r="N101" s="49" t="s">
        <v>859</v>
      </c>
      <c r="O101" s="44" t="s">
        <v>859</v>
      </c>
      <c r="P101" s="44" t="s">
        <v>859</v>
      </c>
      <c r="Q101" s="44">
        <v>17155</v>
      </c>
      <c r="R101" s="18" t="s">
        <v>41</v>
      </c>
      <c r="S101" s="18" t="s">
        <v>52</v>
      </c>
      <c r="T101" s="21" t="str">
        <f>VLOOKUP(C101,'[1]TABEL SMA'!$C$8:$D$343,2,0)</f>
        <v>SMA ST. CLEMENS BOAWAE</v>
      </c>
      <c r="U101" s="22" t="str">
        <f>IFERROR(VLOOKUP(Table11[[#This Row],[Nama]],'[1]TABEL BEASISWA'!$B$4:$D$202,2,FALSE),"TIDAK")</f>
        <v>TIDAK</v>
      </c>
      <c r="V101" s="23" t="str">
        <f>IFERROR(VLOOKUP(Table11[[#This Row],[Nama]],'[1]TABEL BEASISWA'!$B$4:$D$202,3,FALSE),"Tidak ada")</f>
        <v>Tidak ada</v>
      </c>
      <c r="W101" s="24" t="str">
        <f>IFERROR(VLOOKUP(Table11[[#This Row],[Nama]],'[1]TABEL BEASISWA'!$B$4:$E$202,4,FALSE)," ")</f>
        <v xml:space="preserve"> </v>
      </c>
      <c r="X101" s="25"/>
      <c r="Y101" s="25"/>
      <c r="Z101" s="26"/>
      <c r="AA101" s="25"/>
      <c r="AB101" s="25"/>
      <c r="AC101" s="130">
        <v>1001005</v>
      </c>
      <c r="AD101" s="130"/>
      <c r="AE101" s="130"/>
      <c r="AF101" s="130" t="s">
        <v>2346</v>
      </c>
    </row>
    <row r="102" spans="1:32" ht="28">
      <c r="A102" s="10">
        <f t="shared" si="1"/>
        <v>101</v>
      </c>
      <c r="B102" s="19">
        <v>2230123102</v>
      </c>
      <c r="C102" s="12" t="s">
        <v>860</v>
      </c>
      <c r="D102" s="37" t="s">
        <v>861</v>
      </c>
      <c r="E102" s="43" t="s">
        <v>862</v>
      </c>
      <c r="F102" s="44" t="s">
        <v>67</v>
      </c>
      <c r="G102" s="27" t="s">
        <v>863</v>
      </c>
      <c r="H102" s="12" t="s">
        <v>34</v>
      </c>
      <c r="I102" s="132">
        <v>38149</v>
      </c>
      <c r="J102" s="16" t="s">
        <v>97</v>
      </c>
      <c r="K102" s="17" t="s">
        <v>864</v>
      </c>
      <c r="L102" s="45" t="s">
        <v>50</v>
      </c>
      <c r="M102" s="45" t="s">
        <v>60</v>
      </c>
      <c r="N102" s="46" t="s">
        <v>865</v>
      </c>
      <c r="O102" s="47" t="s">
        <v>109</v>
      </c>
      <c r="P102" s="47" t="s">
        <v>109</v>
      </c>
      <c r="Q102" s="47">
        <v>17416</v>
      </c>
      <c r="R102" s="18" t="s">
        <v>41</v>
      </c>
      <c r="S102" s="18" t="s">
        <v>52</v>
      </c>
      <c r="T102" s="21" t="str">
        <f>VLOOKUP(C102,'[1]TABEL SMA'!$C$8:$D$343,2,0)</f>
        <v>SMAN 8 KOTA BEKASI</v>
      </c>
      <c r="U102" s="22" t="str">
        <f>IFERROR(VLOOKUP(Table11[[#This Row],[Nama]],'[1]TABEL BEASISWA'!$B$4:$D$202,2,FALSE),"TIDAK")</f>
        <v>TIDAK</v>
      </c>
      <c r="V102" s="23" t="str">
        <f>IFERROR(VLOOKUP(Table11[[#This Row],[Nama]],'[1]TABEL BEASISWA'!$B$4:$D$202,3,FALSE),"Tidak ada")</f>
        <v>Tidak ada</v>
      </c>
      <c r="W102" s="24" t="str">
        <f>IFERROR(VLOOKUP(Table11[[#This Row],[Nama]],'[1]TABEL BEASISWA'!$B$4:$E$202,4,FALSE)," ")</f>
        <v xml:space="preserve"> </v>
      </c>
      <c r="X102" s="25"/>
      <c r="Y102" s="25"/>
      <c r="Z102" s="26"/>
      <c r="AA102" s="25"/>
      <c r="AB102" s="25"/>
      <c r="AC102" s="130">
        <v>1001002</v>
      </c>
      <c r="AD102" s="130"/>
      <c r="AE102" s="130"/>
      <c r="AF102" s="130" t="s">
        <v>2346</v>
      </c>
    </row>
    <row r="103" spans="1:32" ht="28">
      <c r="A103" s="10">
        <f t="shared" si="1"/>
        <v>102</v>
      </c>
      <c r="B103" s="19">
        <v>2230123103</v>
      </c>
      <c r="C103" s="12" t="s">
        <v>866</v>
      </c>
      <c r="D103" s="37" t="s">
        <v>867</v>
      </c>
      <c r="E103" s="43" t="s">
        <v>868</v>
      </c>
      <c r="F103" s="44" t="s">
        <v>32</v>
      </c>
      <c r="G103" s="27" t="s">
        <v>869</v>
      </c>
      <c r="H103" s="12" t="s">
        <v>629</v>
      </c>
      <c r="I103" s="132">
        <v>41130</v>
      </c>
      <c r="J103" s="16" t="s">
        <v>35</v>
      </c>
      <c r="K103" s="17" t="s">
        <v>870</v>
      </c>
      <c r="L103" s="43" t="s">
        <v>79</v>
      </c>
      <c r="M103" s="43" t="s">
        <v>79</v>
      </c>
      <c r="N103" s="49" t="s">
        <v>629</v>
      </c>
      <c r="O103" s="44" t="s">
        <v>629</v>
      </c>
      <c r="P103" s="44" t="s">
        <v>630</v>
      </c>
      <c r="Q103" s="44">
        <v>29275</v>
      </c>
      <c r="R103" s="18" t="s">
        <v>41</v>
      </c>
      <c r="S103" s="18" t="s">
        <v>52</v>
      </c>
      <c r="T103" s="21" t="str">
        <f>VLOOKUP(C103,'[1]TABEL SMA'!$C$8:$D$343,2,0)</f>
        <v>SMA KARYA PENGALIHAN</v>
      </c>
      <c r="U103" s="22" t="str">
        <f>IFERROR(VLOOKUP(Table11[[#This Row],[Nama]],'[1]TABEL BEASISWA'!$B$4:$D$202,2,FALSE),"TIDAK")</f>
        <v>TIDAK</v>
      </c>
      <c r="V103" s="23" t="str">
        <f>IFERROR(VLOOKUP(Table11[[#This Row],[Nama]],'[1]TABEL BEASISWA'!$B$4:$D$202,3,FALSE),"Tidak ada")</f>
        <v>Tidak ada</v>
      </c>
      <c r="W103" s="24" t="str">
        <f>IFERROR(VLOOKUP(Table11[[#This Row],[Nama]],'[1]TABEL BEASISWA'!$B$4:$E$202,4,FALSE)," ")</f>
        <v xml:space="preserve"> </v>
      </c>
      <c r="X103" s="25"/>
      <c r="Y103" s="25"/>
      <c r="Z103" s="26"/>
      <c r="AA103" s="25"/>
      <c r="AB103" s="25"/>
      <c r="AC103" s="130">
        <v>1001001</v>
      </c>
      <c r="AD103" s="130">
        <v>140409</v>
      </c>
      <c r="AE103" s="130">
        <v>1404092011</v>
      </c>
      <c r="AF103" s="130" t="s">
        <v>2346</v>
      </c>
    </row>
    <row r="104" spans="1:32" ht="42">
      <c r="A104" s="10">
        <f t="shared" si="1"/>
        <v>103</v>
      </c>
      <c r="B104" s="19">
        <v>2230123104</v>
      </c>
      <c r="C104" s="12" t="s">
        <v>871</v>
      </c>
      <c r="D104" s="37" t="s">
        <v>872</v>
      </c>
      <c r="E104" s="43" t="s">
        <v>873</v>
      </c>
      <c r="F104" s="44" t="s">
        <v>32</v>
      </c>
      <c r="G104" s="27" t="s">
        <v>874</v>
      </c>
      <c r="H104" s="12" t="s">
        <v>565</v>
      </c>
      <c r="I104" s="132">
        <v>38336</v>
      </c>
      <c r="J104" s="16" t="s">
        <v>35</v>
      </c>
      <c r="K104" s="17" t="s">
        <v>875</v>
      </c>
      <c r="L104" s="45" t="s">
        <v>143</v>
      </c>
      <c r="M104" s="45" t="s">
        <v>143</v>
      </c>
      <c r="N104" s="46" t="s">
        <v>876</v>
      </c>
      <c r="O104" s="47" t="s">
        <v>876</v>
      </c>
      <c r="P104" s="47" t="s">
        <v>877</v>
      </c>
      <c r="Q104" s="45" t="s">
        <v>878</v>
      </c>
      <c r="R104" s="18" t="s">
        <v>41</v>
      </c>
      <c r="S104" s="18" t="s">
        <v>52</v>
      </c>
      <c r="T104" s="21" t="str">
        <f>VLOOKUP(C104,'[1]TABEL SMA'!$C$8:$D$343,2,0)</f>
        <v>INTERNATIONAL ISLAMIC HIGH SCHOOL</v>
      </c>
      <c r="U104" s="22" t="str">
        <f>IFERROR(VLOOKUP(Table11[[#This Row],[Nama]],'[1]TABEL BEASISWA'!$B$4:$D$202,2,FALSE),"TIDAK")</f>
        <v>TIDAK</v>
      </c>
      <c r="V104" s="23" t="str">
        <f>IFERROR(VLOOKUP(Table11[[#This Row],[Nama]],'[1]TABEL BEASISWA'!$B$4:$D$202,3,FALSE),"Tidak ada")</f>
        <v>Tidak ada</v>
      </c>
      <c r="W104" s="24" t="str">
        <f>IFERROR(VLOOKUP(Table11[[#This Row],[Nama]],'[1]TABEL BEASISWA'!$B$4:$E$202,4,FALSE)," ")</f>
        <v xml:space="preserve"> </v>
      </c>
      <c r="X104" s="25"/>
      <c r="Y104" s="25"/>
      <c r="Z104" s="26"/>
      <c r="AA104" s="25"/>
      <c r="AB104" s="25"/>
      <c r="AC104" s="130">
        <v>1001001</v>
      </c>
      <c r="AD104" s="130">
        <v>737109</v>
      </c>
      <c r="AE104" s="130"/>
      <c r="AF104" s="130" t="s">
        <v>2346</v>
      </c>
    </row>
    <row r="105" spans="1:32" ht="28">
      <c r="A105" s="40">
        <f t="shared" si="1"/>
        <v>104</v>
      </c>
      <c r="B105" s="50">
        <v>2230123105</v>
      </c>
      <c r="C105" s="51" t="s">
        <v>879</v>
      </c>
      <c r="D105" s="37" t="s">
        <v>880</v>
      </c>
      <c r="E105" s="11" t="s">
        <v>881</v>
      </c>
      <c r="F105" s="19" t="s">
        <v>32</v>
      </c>
      <c r="G105" s="27" t="s">
        <v>882</v>
      </c>
      <c r="H105" s="12" t="s">
        <v>34</v>
      </c>
      <c r="I105" s="132">
        <v>38381</v>
      </c>
      <c r="J105" s="16" t="s">
        <v>35</v>
      </c>
      <c r="K105" s="17" t="s">
        <v>883</v>
      </c>
      <c r="L105" s="11" t="s">
        <v>572</v>
      </c>
      <c r="M105" s="11" t="s">
        <v>79</v>
      </c>
      <c r="N105" s="18" t="s">
        <v>884</v>
      </c>
      <c r="O105" s="19" t="s">
        <v>885</v>
      </c>
      <c r="P105" s="19" t="s">
        <v>886</v>
      </c>
      <c r="Q105" s="19">
        <v>13910</v>
      </c>
      <c r="R105" s="18" t="s">
        <v>41</v>
      </c>
      <c r="S105" s="18" t="s">
        <v>52</v>
      </c>
      <c r="T105" s="21" t="e">
        <f>VLOOKUP(C105,'[1]TABEL SMA'!$C$8:$D$343,2,0)</f>
        <v>#N/A</v>
      </c>
      <c r="U105" s="22" t="str">
        <f>IFERROR(VLOOKUP(Table11[[#This Row],[Nama]],'[1]TABEL BEASISWA'!$B$4:$D$202,2,FALSE),"TIDAK")</f>
        <v>YA</v>
      </c>
      <c r="V105" s="23" t="str">
        <f>IFERROR(VLOOKUP(Table11[[#This Row],[Nama]],'[1]TABEL BEASISWA'!$B$4:$D$202,3,FALSE),"Tidak ada")</f>
        <v>Beasiswa 50%, Berprestasi/Kurang Mampu</v>
      </c>
      <c r="W105" s="24" t="str">
        <f>IFERROR(VLOOKUP(Table11[[#This Row],[Nama]],'[1]TABEL BEASISWA'!$B$4:$E$202,4,FALSE)," ")</f>
        <v>Angkatan 3</v>
      </c>
      <c r="X105" s="25"/>
      <c r="Y105" s="25"/>
      <c r="Z105" s="26"/>
      <c r="AA105" s="25"/>
      <c r="AB105" s="25"/>
      <c r="AC105" s="130">
        <v>1001001</v>
      </c>
      <c r="AD105" s="130">
        <v>317506</v>
      </c>
      <c r="AE105" s="130">
        <v>3175061004</v>
      </c>
      <c r="AF105" s="130" t="s">
        <v>2346</v>
      </c>
    </row>
    <row r="106" spans="1:32" ht="28">
      <c r="A106" s="10">
        <f t="shared" si="1"/>
        <v>105</v>
      </c>
      <c r="B106" s="19">
        <v>2230123106</v>
      </c>
      <c r="C106" s="12" t="s">
        <v>887</v>
      </c>
      <c r="D106" s="37" t="s">
        <v>888</v>
      </c>
      <c r="E106" s="43" t="s">
        <v>889</v>
      </c>
      <c r="F106" s="44" t="s">
        <v>67</v>
      </c>
      <c r="G106" s="27" t="s">
        <v>890</v>
      </c>
      <c r="H106" s="12" t="s">
        <v>310</v>
      </c>
      <c r="I106" s="132">
        <v>38083</v>
      </c>
      <c r="J106" s="16" t="s">
        <v>35</v>
      </c>
      <c r="K106" s="17" t="s">
        <v>891</v>
      </c>
      <c r="L106" s="45" t="s">
        <v>79</v>
      </c>
      <c r="M106" s="45" t="s">
        <v>572</v>
      </c>
      <c r="N106" s="46" t="s">
        <v>39</v>
      </c>
      <c r="O106" s="47" t="s">
        <v>39</v>
      </c>
      <c r="P106" s="47" t="s">
        <v>40</v>
      </c>
      <c r="Q106" s="47">
        <v>13820</v>
      </c>
      <c r="R106" s="18" t="s">
        <v>41</v>
      </c>
      <c r="S106" s="18" t="s">
        <v>52</v>
      </c>
      <c r="T106" s="21" t="str">
        <f>VLOOKUP(C106,'[1]TABEL SMA'!$C$8:$D$343,2,0)</f>
        <v>SMAN 1 CILIMUS</v>
      </c>
      <c r="U106" s="22" t="str">
        <f>IFERROR(VLOOKUP(Table11[[#This Row],[Nama]],'[1]TABEL BEASISWA'!$B$4:$D$202,2,FALSE),"TIDAK")</f>
        <v>YA</v>
      </c>
      <c r="V106" s="23" t="str">
        <f>IFERROR(VLOOKUP(Table11[[#This Row],[Nama]],'[1]TABEL BEASISWA'!$B$4:$D$202,3,FALSE),"Tidak ada")</f>
        <v>Beasiswa 20%, Berprestasi/Kurang Mampu</v>
      </c>
      <c r="W106" s="24" t="str">
        <f>IFERROR(VLOOKUP(Table11[[#This Row],[Nama]],'[1]TABEL BEASISWA'!$B$4:$E$202,4,FALSE)," ")</f>
        <v>Angkatan 3</v>
      </c>
      <c r="X106" s="25"/>
      <c r="Y106" s="25"/>
      <c r="Z106" s="26"/>
      <c r="AA106" s="25"/>
      <c r="AB106" s="25"/>
      <c r="AC106" s="130">
        <v>1001001</v>
      </c>
      <c r="AD106" s="130">
        <v>327607</v>
      </c>
      <c r="AE106" s="130"/>
      <c r="AF106" s="130" t="s">
        <v>2346</v>
      </c>
    </row>
    <row r="107" spans="1:32" ht="28">
      <c r="A107" s="10">
        <f t="shared" si="1"/>
        <v>106</v>
      </c>
      <c r="B107" s="19">
        <v>2230123107</v>
      </c>
      <c r="C107" s="12" t="s">
        <v>892</v>
      </c>
      <c r="D107" s="37" t="s">
        <v>893</v>
      </c>
      <c r="E107" s="43" t="s">
        <v>894</v>
      </c>
      <c r="F107" s="44" t="s">
        <v>32</v>
      </c>
      <c r="G107" s="27" t="s">
        <v>895</v>
      </c>
      <c r="H107" s="12" t="s">
        <v>297</v>
      </c>
      <c r="I107" s="132">
        <v>38356</v>
      </c>
      <c r="J107" s="16" t="s">
        <v>35</v>
      </c>
      <c r="K107" s="17" t="s">
        <v>896</v>
      </c>
      <c r="L107" s="43" t="s">
        <v>169</v>
      </c>
      <c r="M107" s="43" t="s">
        <v>50</v>
      </c>
      <c r="N107" s="49" t="s">
        <v>897</v>
      </c>
      <c r="O107" s="44" t="s">
        <v>465</v>
      </c>
      <c r="P107" s="44" t="s">
        <v>439</v>
      </c>
      <c r="Q107" s="43" t="s">
        <v>898</v>
      </c>
      <c r="R107" s="18" t="s">
        <v>41</v>
      </c>
      <c r="S107" s="18" t="s">
        <v>52</v>
      </c>
      <c r="T107" s="21" t="str">
        <f>VLOOKUP(C107,'[1]TABEL SMA'!$C$8:$D$343,2,0)</f>
        <v>SMA ISLAM PB SOEDIRMAN</v>
      </c>
      <c r="U107" s="22" t="str">
        <f>IFERROR(VLOOKUP(Table11[[#This Row],[Nama]],'[1]TABEL BEASISWA'!$B$4:$D$202,2,FALSE),"TIDAK")</f>
        <v>TIDAK</v>
      </c>
      <c r="V107" s="23" t="str">
        <f>IFERROR(VLOOKUP(Table11[[#This Row],[Nama]],'[1]TABEL BEASISWA'!$B$4:$D$202,3,FALSE),"Tidak ada")</f>
        <v>Tidak ada</v>
      </c>
      <c r="W107" s="24" t="str">
        <f>IFERROR(VLOOKUP(Table11[[#This Row],[Nama]],'[1]TABEL BEASISWA'!$B$4:$E$202,4,FALSE)," ")</f>
        <v xml:space="preserve"> </v>
      </c>
      <c r="X107" s="25"/>
      <c r="Y107" s="25"/>
      <c r="Z107" s="26"/>
      <c r="AA107" s="25"/>
      <c r="AB107" s="25"/>
      <c r="AC107" s="130">
        <v>1001001</v>
      </c>
      <c r="AD107" s="130">
        <v>317404</v>
      </c>
      <c r="AE107" s="130">
        <v>3174041006</v>
      </c>
      <c r="AF107" s="130" t="s">
        <v>2346</v>
      </c>
    </row>
    <row r="108" spans="1:32">
      <c r="A108" s="10">
        <f t="shared" si="1"/>
        <v>107</v>
      </c>
      <c r="B108" s="19">
        <v>2230123108</v>
      </c>
      <c r="C108" s="12" t="s">
        <v>899</v>
      </c>
      <c r="D108" s="37" t="s">
        <v>900</v>
      </c>
      <c r="E108" s="43" t="s">
        <v>901</v>
      </c>
      <c r="F108" s="44" t="s">
        <v>67</v>
      </c>
      <c r="G108" s="27" t="s">
        <v>902</v>
      </c>
      <c r="H108" s="12" t="s">
        <v>34</v>
      </c>
      <c r="I108" s="132">
        <v>37731</v>
      </c>
      <c r="J108" s="16" t="s">
        <v>35</v>
      </c>
      <c r="K108" s="17" t="s">
        <v>903</v>
      </c>
      <c r="L108" s="45" t="s">
        <v>169</v>
      </c>
      <c r="M108" s="45" t="s">
        <v>572</v>
      </c>
      <c r="N108" s="46" t="s">
        <v>904</v>
      </c>
      <c r="O108" s="47" t="s">
        <v>904</v>
      </c>
      <c r="P108" s="47" t="s">
        <v>574</v>
      </c>
      <c r="Q108" s="47">
        <v>13720</v>
      </c>
      <c r="R108" s="18" t="s">
        <v>41</v>
      </c>
      <c r="S108" s="18" t="s">
        <v>52</v>
      </c>
      <c r="T108" s="21" t="str">
        <f>VLOOKUP(C108,'[1]TABEL SMA'!$C$8:$D$343,2,0)</f>
        <v>SMK SAHID JAKARTA</v>
      </c>
      <c r="U108" s="22" t="str">
        <f>IFERROR(VLOOKUP(Table11[[#This Row],[Nama]],'[1]TABEL BEASISWA'!$B$4:$D$202,2,FALSE),"TIDAK")</f>
        <v>TIDAK</v>
      </c>
      <c r="V108" s="23" t="str">
        <f>IFERROR(VLOOKUP(Table11[[#This Row],[Nama]],'[1]TABEL BEASISWA'!$B$4:$D$202,3,FALSE),"Tidak ada")</f>
        <v>Tidak ada</v>
      </c>
      <c r="W108" s="24" t="str">
        <f>IFERROR(VLOOKUP(Table11[[#This Row],[Nama]],'[1]TABEL BEASISWA'!$B$4:$E$202,4,FALSE)," ")</f>
        <v xml:space="preserve"> </v>
      </c>
      <c r="X108" s="25"/>
      <c r="Y108" s="25"/>
      <c r="Z108" s="26"/>
      <c r="AA108" s="25"/>
      <c r="AB108" s="25"/>
      <c r="AC108" s="130">
        <v>1001001</v>
      </c>
      <c r="AD108" s="130">
        <v>317509</v>
      </c>
      <c r="AE108" s="130">
        <v>3175091002</v>
      </c>
      <c r="AF108" s="130" t="s">
        <v>2346</v>
      </c>
    </row>
    <row r="109" spans="1:32">
      <c r="A109" s="40">
        <f t="shared" si="1"/>
        <v>108</v>
      </c>
      <c r="B109" s="50">
        <v>2230123109</v>
      </c>
      <c r="C109" s="51" t="s">
        <v>905</v>
      </c>
      <c r="D109" s="37" t="s">
        <v>906</v>
      </c>
      <c r="E109" s="11" t="s">
        <v>907</v>
      </c>
      <c r="F109" s="19" t="s">
        <v>67</v>
      </c>
      <c r="G109" s="27" t="s">
        <v>908</v>
      </c>
      <c r="H109" s="12" t="s">
        <v>132</v>
      </c>
      <c r="I109" s="132">
        <v>34722</v>
      </c>
      <c r="J109" s="16" t="s">
        <v>97</v>
      </c>
      <c r="K109" s="17" t="s">
        <v>909</v>
      </c>
      <c r="L109" s="11" t="s">
        <v>61</v>
      </c>
      <c r="M109" s="11" t="s">
        <v>480</v>
      </c>
      <c r="N109" s="18" t="s">
        <v>910</v>
      </c>
      <c r="O109" s="19" t="s">
        <v>910</v>
      </c>
      <c r="P109" s="19" t="s">
        <v>911</v>
      </c>
      <c r="Q109" s="19">
        <v>40231</v>
      </c>
      <c r="R109" s="18" t="s">
        <v>41</v>
      </c>
      <c r="S109" s="18" t="s">
        <v>52</v>
      </c>
      <c r="T109" s="21" t="e">
        <f>VLOOKUP(C109,'[1]TABEL SMA'!$C$8:$D$343,2,0)</f>
        <v>#N/A</v>
      </c>
      <c r="U109" s="22" t="str">
        <f>IFERROR(VLOOKUP(Table11[[#This Row],[Nama]],'[1]TABEL BEASISWA'!$B$4:$D$202,2,FALSE),"TIDAK")</f>
        <v>TIDAK</v>
      </c>
      <c r="V109" s="23" t="str">
        <f>IFERROR(VLOOKUP(Table11[[#This Row],[Nama]],'[1]TABEL BEASISWA'!$B$4:$D$202,3,FALSE),"Tidak ada")</f>
        <v>Tidak ada</v>
      </c>
      <c r="W109" s="24" t="str">
        <f>IFERROR(VLOOKUP(Table11[[#This Row],[Nama]],'[1]TABEL BEASISWA'!$B$4:$E$202,4,FALSE)," ")</f>
        <v xml:space="preserve"> </v>
      </c>
      <c r="X109" s="25"/>
      <c r="Y109" s="25"/>
      <c r="Z109" s="26"/>
      <c r="AA109" s="25"/>
      <c r="AB109" s="25"/>
      <c r="AC109" s="130">
        <v>1001002</v>
      </c>
      <c r="AD109" s="130">
        <v>327304</v>
      </c>
      <c r="AE109" s="130">
        <v>3273041003</v>
      </c>
      <c r="AF109" s="130" t="s">
        <v>2346</v>
      </c>
    </row>
    <row r="110" spans="1:32" ht="28">
      <c r="A110" s="10">
        <f t="shared" si="1"/>
        <v>109</v>
      </c>
      <c r="B110" s="19">
        <v>2230123110</v>
      </c>
      <c r="C110" s="12" t="s">
        <v>912</v>
      </c>
      <c r="D110" s="37" t="s">
        <v>913</v>
      </c>
      <c r="E110" s="44">
        <v>9993383100</v>
      </c>
      <c r="F110" s="44" t="s">
        <v>32</v>
      </c>
      <c r="G110" s="27" t="s">
        <v>914</v>
      </c>
      <c r="H110" s="12" t="s">
        <v>915</v>
      </c>
      <c r="I110" s="132">
        <v>36508</v>
      </c>
      <c r="J110" s="16" t="s">
        <v>35</v>
      </c>
      <c r="K110" s="17" t="s">
        <v>916</v>
      </c>
      <c r="L110" s="45" t="s">
        <v>917</v>
      </c>
      <c r="M110" s="45" t="s">
        <v>143</v>
      </c>
      <c r="N110" s="46" t="s">
        <v>918</v>
      </c>
      <c r="O110" s="47" t="s">
        <v>918</v>
      </c>
      <c r="P110" s="47" t="s">
        <v>612</v>
      </c>
      <c r="Q110" s="47">
        <v>13770</v>
      </c>
      <c r="R110" s="18" t="s">
        <v>41</v>
      </c>
      <c r="S110" s="18" t="s">
        <v>52</v>
      </c>
      <c r="T110" s="21" t="str">
        <f>VLOOKUP(C110,'[1]TABEL SMA'!$C$8:$D$343,2,0)</f>
        <v>SMA A. WAHID HASYIM TEBUIRENG</v>
      </c>
      <c r="U110" s="22" t="str">
        <f>IFERROR(VLOOKUP(Table11[[#This Row],[Nama]],'[1]TABEL BEASISWA'!$B$4:$D$202,2,FALSE),"TIDAK")</f>
        <v>TIDAK</v>
      </c>
      <c r="V110" s="23" t="str">
        <f>IFERROR(VLOOKUP(Table11[[#This Row],[Nama]],'[1]TABEL BEASISWA'!$B$4:$D$202,3,FALSE),"Tidak ada")</f>
        <v>Tidak ada</v>
      </c>
      <c r="W110" s="24" t="str">
        <f>IFERROR(VLOOKUP(Table11[[#This Row],[Nama]],'[1]TABEL BEASISWA'!$B$4:$E$202,4,FALSE)," ")</f>
        <v xml:space="preserve"> </v>
      </c>
      <c r="X110" s="25"/>
      <c r="Y110" s="25"/>
      <c r="Z110" s="26"/>
      <c r="AA110" s="25"/>
      <c r="AB110" s="25"/>
      <c r="AC110" s="130">
        <v>1001001</v>
      </c>
      <c r="AD110" s="130">
        <v>317505</v>
      </c>
      <c r="AE110" s="130">
        <v>3175051003</v>
      </c>
      <c r="AF110" s="130" t="s">
        <v>2346</v>
      </c>
    </row>
    <row r="111" spans="1:32">
      <c r="A111" s="10">
        <f t="shared" si="1"/>
        <v>110</v>
      </c>
      <c r="B111" s="19">
        <v>2230123111</v>
      </c>
      <c r="C111" s="12" t="s">
        <v>919</v>
      </c>
      <c r="D111" s="37" t="s">
        <v>920</v>
      </c>
      <c r="E111" s="55" t="s">
        <v>921</v>
      </c>
      <c r="F111" s="44" t="s">
        <v>32</v>
      </c>
      <c r="G111" s="27" t="s">
        <v>922</v>
      </c>
      <c r="H111" s="12" t="s">
        <v>34</v>
      </c>
      <c r="I111" s="132">
        <v>37894</v>
      </c>
      <c r="J111" s="16" t="s">
        <v>35</v>
      </c>
      <c r="K111" s="17" t="s">
        <v>923</v>
      </c>
      <c r="L111" s="43" t="s">
        <v>50</v>
      </c>
      <c r="M111" s="43" t="s">
        <v>924</v>
      </c>
      <c r="N111" s="49" t="s">
        <v>925</v>
      </c>
      <c r="O111" s="44" t="s">
        <v>926</v>
      </c>
      <c r="P111" s="44" t="s">
        <v>926</v>
      </c>
      <c r="Q111" s="53"/>
      <c r="R111" s="18" t="s">
        <v>41</v>
      </c>
      <c r="S111" s="18" t="s">
        <v>52</v>
      </c>
      <c r="T111" s="21" t="str">
        <f>VLOOKUP(C111,'[1]TABEL SMA'!$C$8:$D$343,2,0)</f>
        <v>SMK SEJAHTERA</v>
      </c>
      <c r="U111" s="22" t="str">
        <f>IFERROR(VLOOKUP(Table11[[#This Row],[Nama]],'[1]TABEL BEASISWA'!$B$4:$D$202,2,FALSE),"TIDAK")</f>
        <v>TIDAK</v>
      </c>
      <c r="V111" s="23" t="str">
        <f>IFERROR(VLOOKUP(Table11[[#This Row],[Nama]],'[1]TABEL BEASISWA'!$B$4:$D$202,3,FALSE),"Tidak ada")</f>
        <v>Tidak ada</v>
      </c>
      <c r="W111" s="24" t="str">
        <f>IFERROR(VLOOKUP(Table11[[#This Row],[Nama]],'[1]TABEL BEASISWA'!$B$4:$E$202,4,FALSE)," ")</f>
        <v xml:space="preserve"> </v>
      </c>
      <c r="X111" s="25"/>
      <c r="Y111" s="25"/>
      <c r="Z111" s="26"/>
      <c r="AA111" s="25"/>
      <c r="AB111" s="25"/>
      <c r="AC111" s="130">
        <v>1001001</v>
      </c>
      <c r="AD111" s="130">
        <v>317203</v>
      </c>
      <c r="AE111" s="130">
        <v>3172031001</v>
      </c>
      <c r="AF111" s="130" t="s">
        <v>2346</v>
      </c>
    </row>
    <row r="112" spans="1:32" ht="42">
      <c r="A112" s="10">
        <f t="shared" si="1"/>
        <v>111</v>
      </c>
      <c r="B112" s="19">
        <v>2230123112</v>
      </c>
      <c r="C112" s="12" t="s">
        <v>927</v>
      </c>
      <c r="D112" s="37" t="s">
        <v>928</v>
      </c>
      <c r="E112" s="43" t="s">
        <v>929</v>
      </c>
      <c r="F112" s="44" t="s">
        <v>32</v>
      </c>
      <c r="G112" s="27" t="s">
        <v>930</v>
      </c>
      <c r="H112" s="12" t="s">
        <v>931</v>
      </c>
      <c r="I112" s="132">
        <v>38147</v>
      </c>
      <c r="J112" s="16" t="s">
        <v>35</v>
      </c>
      <c r="K112" s="17" t="s">
        <v>932</v>
      </c>
      <c r="L112" s="45" t="s">
        <v>79</v>
      </c>
      <c r="M112" s="52"/>
      <c r="N112" s="46" t="s">
        <v>933</v>
      </c>
      <c r="O112" s="47" t="s">
        <v>934</v>
      </c>
      <c r="P112" s="47" t="s">
        <v>934</v>
      </c>
      <c r="Q112" s="47">
        <v>76141</v>
      </c>
      <c r="R112" s="18" t="s">
        <v>41</v>
      </c>
      <c r="S112" s="18" t="s">
        <v>263</v>
      </c>
      <c r="T112" s="21" t="str">
        <f>VLOOKUP(C112,'[1]TABEL SMA'!$C$8:$D$343,2,0)</f>
        <v>SMA NERERI 1 PENAJAM PASER UTARA</v>
      </c>
      <c r="U112" s="22" t="str">
        <f>IFERROR(VLOOKUP(Table11[[#This Row],[Nama]],'[1]TABEL BEASISWA'!$B$4:$D$202,2,FALSE),"TIDAK")</f>
        <v>YA</v>
      </c>
      <c r="V112" s="23" t="str">
        <f>IFERROR(VLOOKUP(Table11[[#This Row],[Nama]],'[1]TABEL BEASISWA'!$B$4:$D$202,3,FALSE),"Tidak ada")</f>
        <v>Beasiswa 50%, Berprestasi-Pegawai Kejaksaan</v>
      </c>
      <c r="W112" s="24" t="str">
        <f>IFERROR(VLOOKUP(Table11[[#This Row],[Nama]],'[1]TABEL BEASISWA'!$B$4:$E$202,4,FALSE)," ")</f>
        <v>Angkatan 3</v>
      </c>
      <c r="X112" s="25"/>
      <c r="Y112" s="25"/>
      <c r="Z112" s="26"/>
      <c r="AA112" s="25"/>
      <c r="AB112" s="25"/>
      <c r="AC112" s="130">
        <v>1001001</v>
      </c>
      <c r="AD112" s="130">
        <v>640901</v>
      </c>
      <c r="AE112" s="130">
        <v>6409011011</v>
      </c>
      <c r="AF112" s="130" t="s">
        <v>2346</v>
      </c>
    </row>
    <row r="113" spans="1:32" ht="42">
      <c r="A113" s="10">
        <f t="shared" si="1"/>
        <v>112</v>
      </c>
      <c r="B113" s="19">
        <v>2230123113</v>
      </c>
      <c r="C113" s="37" t="s">
        <v>935</v>
      </c>
      <c r="D113" s="37" t="s">
        <v>936</v>
      </c>
      <c r="E113" s="43" t="s">
        <v>937</v>
      </c>
      <c r="F113" s="44" t="s">
        <v>32</v>
      </c>
      <c r="G113" s="27" t="s">
        <v>938</v>
      </c>
      <c r="H113" s="12" t="s">
        <v>34</v>
      </c>
      <c r="I113" s="132">
        <v>30988</v>
      </c>
      <c r="J113" s="16" t="s">
        <v>35</v>
      </c>
      <c r="K113" s="17" t="s">
        <v>939</v>
      </c>
      <c r="L113" s="43" t="s">
        <v>37</v>
      </c>
      <c r="M113" s="43" t="s">
        <v>917</v>
      </c>
      <c r="N113" s="49" t="s">
        <v>940</v>
      </c>
      <c r="O113" s="44" t="s">
        <v>940</v>
      </c>
      <c r="P113" s="44" t="s">
        <v>941</v>
      </c>
      <c r="Q113" s="44">
        <v>14340</v>
      </c>
      <c r="R113" s="18" t="s">
        <v>41</v>
      </c>
      <c r="S113" s="18" t="s">
        <v>458</v>
      </c>
      <c r="T113" s="21" t="str">
        <f>VLOOKUP(C113,'[1]TABEL SMA'!$C$8:$D$343,2,0)</f>
        <v>SMU NEGERI 18 TANJUNG PRIOK JAKARTA UTARA</v>
      </c>
      <c r="U113" s="22" t="str">
        <f>IFERROR(VLOOKUP(Table11[[#This Row],[Nama]],'[1]TABEL BEASISWA'!$B$4:$D$202,2,FALSE),"TIDAK")</f>
        <v>YA</v>
      </c>
      <c r="V113" s="23" t="str">
        <f>IFERROR(VLOOKUP(Table11[[#This Row],[Nama]],'[1]TABEL BEASISWA'!$B$4:$D$202,3,FALSE),"Tidak ada")</f>
        <v>Beasiswa 80%, Umum-Pegawai RSU Adhyaksa</v>
      </c>
      <c r="W113" s="24" t="str">
        <f>IFERROR(VLOOKUP(Table11[[#This Row],[Nama]],'[1]TABEL BEASISWA'!$B$4:$E$202,4,FALSE)," ")</f>
        <v>Angkatan 3</v>
      </c>
      <c r="X113" s="25"/>
      <c r="Y113" s="25"/>
      <c r="Z113" s="26"/>
      <c r="AA113" s="25"/>
      <c r="AB113" s="25"/>
      <c r="AC113" s="130">
        <v>1001001</v>
      </c>
      <c r="AD113" s="130">
        <v>317202</v>
      </c>
      <c r="AE113" s="130">
        <v>3172021007</v>
      </c>
      <c r="AF113" s="130" t="s">
        <v>2348</v>
      </c>
    </row>
    <row r="114" spans="1:32" ht="28">
      <c r="A114" s="40">
        <f t="shared" si="1"/>
        <v>113</v>
      </c>
      <c r="B114" s="50">
        <v>2230123114</v>
      </c>
      <c r="C114" s="42" t="s">
        <v>942</v>
      </c>
      <c r="D114" s="37" t="s">
        <v>943</v>
      </c>
      <c r="E114" s="11" t="s">
        <v>944</v>
      </c>
      <c r="F114" s="19" t="s">
        <v>32</v>
      </c>
      <c r="G114" s="27" t="s">
        <v>945</v>
      </c>
      <c r="H114" s="12" t="s">
        <v>946</v>
      </c>
      <c r="I114" s="132">
        <v>29108</v>
      </c>
      <c r="J114" s="16" t="s">
        <v>35</v>
      </c>
      <c r="K114" s="17" t="s">
        <v>947</v>
      </c>
      <c r="L114" s="11" t="s">
        <v>143</v>
      </c>
      <c r="M114" s="11" t="s">
        <v>917</v>
      </c>
      <c r="N114" s="18" t="s">
        <v>948</v>
      </c>
      <c r="O114" s="19" t="s">
        <v>948</v>
      </c>
      <c r="P114" s="19" t="s">
        <v>565</v>
      </c>
      <c r="Q114" s="19">
        <v>13610</v>
      </c>
      <c r="R114" s="18" t="s">
        <v>41</v>
      </c>
      <c r="S114" s="18" t="s">
        <v>52</v>
      </c>
      <c r="T114" s="21" t="e">
        <f>VLOOKUP(C114,'[1]TABEL SMA'!$C$8:$D$343,2,0)</f>
        <v>#N/A</v>
      </c>
      <c r="U114" s="22" t="str">
        <f>IFERROR(VLOOKUP(Table11[[#This Row],[Nama]],'[1]TABEL BEASISWA'!$B$4:$D$202,2,FALSE),"TIDAK")</f>
        <v>TIDAK</v>
      </c>
      <c r="V114" s="23" t="str">
        <f>IFERROR(VLOOKUP(Table11[[#This Row],[Nama]],'[1]TABEL BEASISWA'!$B$4:$D$202,3,FALSE),"Tidak ada")</f>
        <v>Tidak ada</v>
      </c>
      <c r="W114" s="24" t="str">
        <f>IFERROR(VLOOKUP(Table11[[#This Row],[Nama]],'[1]TABEL BEASISWA'!$B$4:$E$202,4,FALSE)," ")</f>
        <v xml:space="preserve"> </v>
      </c>
      <c r="X114" s="25"/>
      <c r="Y114" s="25"/>
      <c r="Z114" s="26"/>
      <c r="AA114" s="25"/>
      <c r="AB114" s="25"/>
      <c r="AC114" s="130">
        <v>1001001</v>
      </c>
      <c r="AD114" s="130">
        <v>317508</v>
      </c>
      <c r="AE114" s="130"/>
      <c r="AF114" s="130" t="s">
        <v>2346</v>
      </c>
    </row>
    <row r="115" spans="1:32" ht="28">
      <c r="A115" s="10">
        <f t="shared" si="1"/>
        <v>114</v>
      </c>
      <c r="B115" s="19">
        <v>2230123115</v>
      </c>
      <c r="C115" s="37" t="s">
        <v>949</v>
      </c>
      <c r="D115" s="37" t="s">
        <v>950</v>
      </c>
      <c r="E115" s="43" t="s">
        <v>951</v>
      </c>
      <c r="F115" s="44" t="s">
        <v>67</v>
      </c>
      <c r="G115" s="27" t="s">
        <v>952</v>
      </c>
      <c r="H115" s="12" t="s">
        <v>953</v>
      </c>
      <c r="I115" s="132">
        <v>36762</v>
      </c>
      <c r="J115" s="16" t="s">
        <v>35</v>
      </c>
      <c r="K115" s="17" t="s">
        <v>954</v>
      </c>
      <c r="L115" s="43" t="s">
        <v>79</v>
      </c>
      <c r="M115" s="43" t="s">
        <v>480</v>
      </c>
      <c r="N115" s="49" t="s">
        <v>955</v>
      </c>
      <c r="O115" s="44" t="s">
        <v>955</v>
      </c>
      <c r="P115" s="44" t="s">
        <v>956</v>
      </c>
      <c r="Q115" s="53"/>
      <c r="R115" s="18" t="s">
        <v>41</v>
      </c>
      <c r="S115" s="18" t="s">
        <v>52</v>
      </c>
      <c r="T115" s="21" t="str">
        <f>VLOOKUP(C115,'[1]TABEL SMA'!$C$8:$D$343,2,0)</f>
        <v>SMA SWASTA AL MUSLIMUN</v>
      </c>
      <c r="U115" s="22" t="str">
        <f>IFERROR(VLOOKUP(Table11[[#This Row],[Nama]],'[1]TABEL BEASISWA'!$B$4:$D$202,2,FALSE),"TIDAK")</f>
        <v>TIDAK</v>
      </c>
      <c r="V115" s="23" t="str">
        <f>IFERROR(VLOOKUP(Table11[[#This Row],[Nama]],'[1]TABEL BEASISWA'!$B$4:$D$202,3,FALSE),"Tidak ada")</f>
        <v>Tidak ada</v>
      </c>
      <c r="W115" s="24" t="str">
        <f>IFERROR(VLOOKUP(Table11[[#This Row],[Nama]],'[1]TABEL BEASISWA'!$B$4:$E$202,4,FALSE)," ")</f>
        <v xml:space="preserve"> </v>
      </c>
      <c r="X115" s="25"/>
      <c r="Y115" s="25"/>
      <c r="Z115" s="26"/>
      <c r="AA115" s="25"/>
      <c r="AB115" s="25"/>
      <c r="AC115" s="130">
        <v>1001001</v>
      </c>
      <c r="AD115" s="130">
        <v>620613</v>
      </c>
      <c r="AE115" s="130"/>
      <c r="AF115" s="130" t="s">
        <v>2346</v>
      </c>
    </row>
    <row r="116" spans="1:32" ht="28">
      <c r="A116" s="10">
        <f t="shared" si="1"/>
        <v>115</v>
      </c>
      <c r="B116" s="19">
        <v>2230123116</v>
      </c>
      <c r="C116" s="37" t="s">
        <v>957</v>
      </c>
      <c r="D116" s="37" t="s">
        <v>958</v>
      </c>
      <c r="E116" s="44">
        <v>9997564742</v>
      </c>
      <c r="F116" s="44" t="s">
        <v>32</v>
      </c>
      <c r="G116" s="27" t="s">
        <v>959</v>
      </c>
      <c r="H116" s="12" t="s">
        <v>960</v>
      </c>
      <c r="I116" s="132">
        <v>36384</v>
      </c>
      <c r="J116" s="16" t="s">
        <v>35</v>
      </c>
      <c r="K116" s="17" t="s">
        <v>961</v>
      </c>
      <c r="L116" s="52"/>
      <c r="M116" s="52"/>
      <c r="N116" s="46" t="s">
        <v>962</v>
      </c>
      <c r="O116" s="47" t="s">
        <v>962</v>
      </c>
      <c r="P116" s="47" t="s">
        <v>963</v>
      </c>
      <c r="Q116" s="47">
        <v>97795</v>
      </c>
      <c r="R116" s="18" t="s">
        <v>41</v>
      </c>
      <c r="S116" s="18" t="s">
        <v>263</v>
      </c>
      <c r="T116" s="21" t="str">
        <f>VLOOKUP(C116,'[1]TABEL SMA'!$C$8:$D$343,2,0)</f>
        <v>SMA NEGERI 1 GURAH</v>
      </c>
      <c r="U116" s="22" t="str">
        <f>IFERROR(VLOOKUP(Table11[[#This Row],[Nama]],'[1]TABEL BEASISWA'!$B$4:$D$202,2,FALSE),"TIDAK")</f>
        <v>YA</v>
      </c>
      <c r="V116" s="23" t="str">
        <f>IFERROR(VLOOKUP(Table11[[#This Row],[Nama]],'[1]TABEL BEASISWA'!$B$4:$D$202,3,FALSE),"Tidak ada")</f>
        <v>Beasiswa 50%, Berprestasi-Pegawai Kejaksaan</v>
      </c>
      <c r="W116" s="24" t="str">
        <f>IFERROR(VLOOKUP(Table11[[#This Row],[Nama]],'[1]TABEL BEASISWA'!$B$4:$E$202,4,FALSE)," ")</f>
        <v>Angkatan 3</v>
      </c>
      <c r="X116" s="25"/>
      <c r="Y116" s="25"/>
      <c r="Z116" s="26"/>
      <c r="AA116" s="25"/>
      <c r="AB116" s="25"/>
      <c r="AC116" s="130">
        <v>1001001</v>
      </c>
      <c r="AD116" s="130">
        <v>820502</v>
      </c>
      <c r="AE116" s="130"/>
      <c r="AF116" s="130" t="s">
        <v>2346</v>
      </c>
    </row>
    <row r="117" spans="1:32" ht="28">
      <c r="A117" s="10">
        <v>116</v>
      </c>
      <c r="B117" s="56">
        <v>2230124117</v>
      </c>
      <c r="C117" s="37" t="s">
        <v>964</v>
      </c>
      <c r="D117" s="57" t="s">
        <v>965</v>
      </c>
      <c r="E117" s="11" t="s">
        <v>966</v>
      </c>
      <c r="F117" s="19" t="s">
        <v>32</v>
      </c>
      <c r="G117" s="27" t="s">
        <v>967</v>
      </c>
      <c r="H117" s="12" t="s">
        <v>34</v>
      </c>
      <c r="I117" s="133">
        <v>38950</v>
      </c>
      <c r="J117" s="19" t="s">
        <v>35</v>
      </c>
      <c r="K117" s="17" t="s">
        <v>968</v>
      </c>
      <c r="L117" s="11" t="s">
        <v>60</v>
      </c>
      <c r="M117" s="11" t="s">
        <v>50</v>
      </c>
      <c r="N117" s="18" t="s">
        <v>969</v>
      </c>
      <c r="O117" s="19" t="s">
        <v>969</v>
      </c>
      <c r="P117" s="19" t="s">
        <v>40</v>
      </c>
      <c r="Q117" s="19">
        <v>13860</v>
      </c>
      <c r="R117" s="18" t="s">
        <v>41</v>
      </c>
      <c r="S117" s="18" t="s">
        <v>52</v>
      </c>
      <c r="T117" s="21" t="str">
        <f>VLOOKUP(C117,'[1]TABEL SMA'!$C$8:$D$343,2,0)</f>
        <v>PKBM DEWAN DAKWAH</v>
      </c>
      <c r="U117" s="22" t="str">
        <f>IFERROR(VLOOKUP(Table11[[#This Row],[Nama]],'[1]TABEL BEASISWA'!$B$4:$D$202,2,FALSE),"TIDAK")</f>
        <v>TIDAK</v>
      </c>
      <c r="V117" s="23" t="str">
        <f>IFERROR(VLOOKUP(Table11[[#This Row],[Nama]],'[1]TABEL BEASISWA'!$B$4:$D$202,3,FALSE),"Tidak ada")</f>
        <v>Tidak ada</v>
      </c>
      <c r="W117" s="24" t="str">
        <f>IFERROR(VLOOKUP(Table11[[#This Row],[Nama]],'[1]TABEL BEASISWA'!$B$4:$E$202,4,FALSE)," ")</f>
        <v xml:space="preserve"> </v>
      </c>
      <c r="X117" s="25"/>
      <c r="Y117" s="25"/>
      <c r="Z117" s="26"/>
      <c r="AA117" s="25"/>
      <c r="AB117" s="25"/>
      <c r="AC117" s="130">
        <v>1001001</v>
      </c>
      <c r="AD117" s="130">
        <v>327607</v>
      </c>
      <c r="AE117" s="130"/>
      <c r="AF117" s="130" t="s">
        <v>2346</v>
      </c>
    </row>
    <row r="118" spans="1:32" ht="42">
      <c r="A118" s="10">
        <f t="shared" ref="A118:A181" si="2">A117+1</f>
        <v>117</v>
      </c>
      <c r="B118" s="56">
        <v>2230124118</v>
      </c>
      <c r="C118" s="37" t="s">
        <v>970</v>
      </c>
      <c r="D118" s="57" t="s">
        <v>971</v>
      </c>
      <c r="E118" s="11" t="s">
        <v>972</v>
      </c>
      <c r="F118" s="19" t="s">
        <v>32</v>
      </c>
      <c r="G118" s="27" t="s">
        <v>973</v>
      </c>
      <c r="H118" s="12" t="s">
        <v>974</v>
      </c>
      <c r="I118" s="133">
        <v>36876</v>
      </c>
      <c r="J118" s="19" t="s">
        <v>35</v>
      </c>
      <c r="K118" s="17" t="s">
        <v>975</v>
      </c>
      <c r="L118" s="11" t="s">
        <v>143</v>
      </c>
      <c r="M118" s="11" t="s">
        <v>437</v>
      </c>
      <c r="N118" s="18" t="s">
        <v>976</v>
      </c>
      <c r="O118" s="19" t="s">
        <v>976</v>
      </c>
      <c r="P118" s="19" t="s">
        <v>977</v>
      </c>
      <c r="Q118" s="19">
        <v>61256</v>
      </c>
      <c r="R118" s="18" t="s">
        <v>41</v>
      </c>
      <c r="S118" s="18" t="s">
        <v>52</v>
      </c>
      <c r="T118" s="21" t="str">
        <f>VLOOKUP(C118,'[1]TABEL SMA'!$C$8:$D$343,2,0)</f>
        <v>SMK KEMALA BHAYANGKARI 1 WARU</v>
      </c>
      <c r="U118" s="22" t="str">
        <f>IFERROR(VLOOKUP(Table11[[#This Row],[Nama]],'[1]TABEL BEASISWA'!$B$4:$D$202,2,FALSE),"TIDAK")</f>
        <v>TIDAK</v>
      </c>
      <c r="V118" s="23" t="str">
        <f>IFERROR(VLOOKUP(Table11[[#This Row],[Nama]],'[1]TABEL BEASISWA'!$B$4:$D$202,3,FALSE),"Tidak ada")</f>
        <v>Tidak ada</v>
      </c>
      <c r="W118" s="24" t="str">
        <f>IFERROR(VLOOKUP(Table11[[#This Row],[Nama]],'[1]TABEL BEASISWA'!$B$4:$E$202,4,FALSE)," ")</f>
        <v xml:space="preserve"> </v>
      </c>
      <c r="X118" s="25"/>
      <c r="Y118" s="25"/>
      <c r="Z118" s="26"/>
      <c r="AA118" s="25"/>
      <c r="AB118" s="25"/>
      <c r="AC118" s="130">
        <v>1001001</v>
      </c>
      <c r="AD118" s="130">
        <v>351518</v>
      </c>
      <c r="AE118" s="130">
        <v>3515182001</v>
      </c>
      <c r="AF118" s="130" t="s">
        <v>2346</v>
      </c>
    </row>
    <row r="119" spans="1:32" ht="28">
      <c r="A119" s="10">
        <f t="shared" si="2"/>
        <v>118</v>
      </c>
      <c r="B119" s="56">
        <v>2230124119</v>
      </c>
      <c r="C119" s="37" t="s">
        <v>978</v>
      </c>
      <c r="D119" s="57" t="s">
        <v>979</v>
      </c>
      <c r="E119" s="11" t="s">
        <v>980</v>
      </c>
      <c r="F119" s="19" t="s">
        <v>32</v>
      </c>
      <c r="G119" s="27" t="s">
        <v>981</v>
      </c>
      <c r="H119" s="12" t="s">
        <v>58</v>
      </c>
      <c r="I119" s="133">
        <v>38941</v>
      </c>
      <c r="J119" s="19" t="s">
        <v>35</v>
      </c>
      <c r="K119" s="17" t="s">
        <v>982</v>
      </c>
      <c r="L119" s="11" t="s">
        <v>50</v>
      </c>
      <c r="M119" s="11" t="s">
        <v>49</v>
      </c>
      <c r="N119" s="18" t="s">
        <v>983</v>
      </c>
      <c r="O119" s="19" t="s">
        <v>983</v>
      </c>
      <c r="P119" s="19" t="s">
        <v>984</v>
      </c>
      <c r="Q119" s="19">
        <v>16519</v>
      </c>
      <c r="R119" s="18" t="s">
        <v>41</v>
      </c>
      <c r="S119" s="18" t="s">
        <v>52</v>
      </c>
      <c r="T119" s="21" t="str">
        <f>VLOOKUP(C119,'[1]TABEL SMA'!$C$8:$D$343,2,0)</f>
        <v>SMA TARUNA TERPADU</v>
      </c>
      <c r="U119" s="22" t="str">
        <f>IFERROR(VLOOKUP(Table11[[#This Row],[Nama]],'[1]TABEL BEASISWA'!$B$4:$D$202,2,FALSE),"TIDAK")</f>
        <v>TIDAK</v>
      </c>
      <c r="V119" s="23" t="str">
        <f>IFERROR(VLOOKUP(Table11[[#This Row],[Nama]],'[1]TABEL BEASISWA'!$B$4:$D$202,3,FALSE),"Tidak ada")</f>
        <v>Tidak ada</v>
      </c>
      <c r="W119" s="24" t="str">
        <f>IFERROR(VLOOKUP(Table11[[#This Row],[Nama]],'[1]TABEL BEASISWA'!$B$4:$E$202,4,FALSE)," ")</f>
        <v xml:space="preserve"> </v>
      </c>
      <c r="X119" s="25"/>
      <c r="Y119" s="25"/>
      <c r="Z119" s="26"/>
      <c r="AA119" s="25"/>
      <c r="AB119" s="25"/>
      <c r="AC119" s="130">
        <v>1001001</v>
      </c>
      <c r="AD119" s="130">
        <v>330807</v>
      </c>
      <c r="AE119" s="130"/>
      <c r="AF119" s="130" t="s">
        <v>2346</v>
      </c>
    </row>
    <row r="120" spans="1:32" ht="28">
      <c r="A120" s="10">
        <f t="shared" si="2"/>
        <v>119</v>
      </c>
      <c r="B120" s="56">
        <v>2230124120</v>
      </c>
      <c r="C120" s="37" t="s">
        <v>985</v>
      </c>
      <c r="D120" s="57" t="s">
        <v>986</v>
      </c>
      <c r="E120" s="11" t="s">
        <v>987</v>
      </c>
      <c r="F120" s="19" t="s">
        <v>32</v>
      </c>
      <c r="G120" s="27" t="s">
        <v>988</v>
      </c>
      <c r="H120" s="12" t="s">
        <v>769</v>
      </c>
      <c r="I120" s="132">
        <v>38790</v>
      </c>
      <c r="J120" s="19" t="s">
        <v>35</v>
      </c>
      <c r="K120" s="17" t="s">
        <v>989</v>
      </c>
      <c r="L120" s="11" t="s">
        <v>572</v>
      </c>
      <c r="M120" s="11" t="s">
        <v>50</v>
      </c>
      <c r="N120" s="18" t="s">
        <v>990</v>
      </c>
      <c r="O120" s="19" t="s">
        <v>990</v>
      </c>
      <c r="P120" s="19" t="s">
        <v>340</v>
      </c>
      <c r="Q120" s="19">
        <v>13410</v>
      </c>
      <c r="R120" s="18" t="s">
        <v>41</v>
      </c>
      <c r="S120" s="18" t="s">
        <v>52</v>
      </c>
      <c r="T120" s="21" t="str">
        <f>VLOOKUP(C120,'[1]TABEL SMA'!$C$8:$D$343,2,0)</f>
        <v>SMA MUHAMMADIYAH 12</v>
      </c>
      <c r="U120" s="22" t="str">
        <f>IFERROR(VLOOKUP(Table11[[#This Row],[Nama]],'[1]TABEL BEASISWA'!$B$4:$D$202,2,FALSE),"TIDAK")</f>
        <v>TIDAK</v>
      </c>
      <c r="V120" s="23" t="str">
        <f>IFERROR(VLOOKUP(Table11[[#This Row],[Nama]],'[1]TABEL BEASISWA'!$B$4:$D$202,3,FALSE),"Tidak ada")</f>
        <v>Tidak ada</v>
      </c>
      <c r="W120" s="24" t="str">
        <f>IFERROR(VLOOKUP(Table11[[#This Row],[Nama]],'[1]TABEL BEASISWA'!$B$4:$E$202,4,FALSE)," ")</f>
        <v xml:space="preserve"> </v>
      </c>
      <c r="X120" s="25"/>
      <c r="Y120" s="25"/>
      <c r="Z120" s="26"/>
      <c r="AA120" s="25"/>
      <c r="AB120" s="25"/>
      <c r="AC120" s="130">
        <v>1001001</v>
      </c>
      <c r="AD120" s="130">
        <v>332807</v>
      </c>
      <c r="AE120" s="130"/>
      <c r="AF120" s="130" t="s">
        <v>2346</v>
      </c>
    </row>
    <row r="121" spans="1:32">
      <c r="A121" s="10">
        <f t="shared" si="2"/>
        <v>120</v>
      </c>
      <c r="B121" s="56">
        <v>2230124121</v>
      </c>
      <c r="C121" s="37" t="s">
        <v>991</v>
      </c>
      <c r="D121" s="57" t="s">
        <v>992</v>
      </c>
      <c r="E121" s="11" t="s">
        <v>993</v>
      </c>
      <c r="F121" s="19" t="s">
        <v>32</v>
      </c>
      <c r="G121" s="27" t="s">
        <v>994</v>
      </c>
      <c r="H121" s="12" t="s">
        <v>34</v>
      </c>
      <c r="I121" s="133">
        <v>38694</v>
      </c>
      <c r="J121" s="19" t="s">
        <v>35</v>
      </c>
      <c r="K121" s="17" t="s">
        <v>995</v>
      </c>
      <c r="L121" s="11" t="s">
        <v>338</v>
      </c>
      <c r="M121" s="11" t="s">
        <v>50</v>
      </c>
      <c r="N121" s="18" t="s">
        <v>996</v>
      </c>
      <c r="O121" s="19" t="s">
        <v>996</v>
      </c>
      <c r="P121" s="19" t="s">
        <v>997</v>
      </c>
      <c r="Q121" s="19">
        <v>10450</v>
      </c>
      <c r="R121" s="18" t="s">
        <v>41</v>
      </c>
      <c r="S121" s="18" t="s">
        <v>52</v>
      </c>
      <c r="T121" s="21" t="str">
        <f>VLOOKUP(C121,'[1]TABEL SMA'!$C$8:$D$343,2,0)</f>
        <v>SMA DEWI SARTIKA</v>
      </c>
      <c r="U121" s="22" t="str">
        <f>IFERROR(VLOOKUP(Table11[[#This Row],[Nama]],'[1]TABEL BEASISWA'!$B$4:$D$202,2,FALSE),"TIDAK")</f>
        <v>TIDAK</v>
      </c>
      <c r="V121" s="23" t="str">
        <f>IFERROR(VLOOKUP(Table11[[#This Row],[Nama]],'[1]TABEL BEASISWA'!$B$4:$D$202,3,FALSE),"Tidak ada")</f>
        <v>Tidak ada</v>
      </c>
      <c r="W121" s="24" t="str">
        <f>IFERROR(VLOOKUP(Table11[[#This Row],[Nama]],'[1]TABEL BEASISWA'!$B$4:$E$202,4,FALSE)," ")</f>
        <v xml:space="preserve"> </v>
      </c>
      <c r="X121" s="25"/>
      <c r="Y121" s="25"/>
      <c r="Z121" s="26"/>
      <c r="AA121" s="25"/>
      <c r="AB121" s="25"/>
      <c r="AC121" s="130">
        <v>1001001</v>
      </c>
      <c r="AD121" s="130">
        <v>317104</v>
      </c>
      <c r="AE121" s="130">
        <v>3171041004</v>
      </c>
      <c r="AF121" s="130" t="s">
        <v>2346</v>
      </c>
    </row>
    <row r="122" spans="1:32" ht="28">
      <c r="A122" s="10">
        <f t="shared" si="2"/>
        <v>121</v>
      </c>
      <c r="B122" s="56">
        <v>2230124122</v>
      </c>
      <c r="C122" s="37" t="s">
        <v>998</v>
      </c>
      <c r="D122" s="57" t="s">
        <v>999</v>
      </c>
      <c r="E122" s="11" t="s">
        <v>1000</v>
      </c>
      <c r="F122" s="19" t="s">
        <v>32</v>
      </c>
      <c r="G122" s="27" t="s">
        <v>1001</v>
      </c>
      <c r="H122" s="12" t="s">
        <v>77</v>
      </c>
      <c r="I122" s="133">
        <v>38626</v>
      </c>
      <c r="J122" s="19" t="s">
        <v>35</v>
      </c>
      <c r="K122" s="17" t="s">
        <v>1002</v>
      </c>
      <c r="L122" s="11" t="s">
        <v>79</v>
      </c>
      <c r="M122" s="11" t="s">
        <v>50</v>
      </c>
      <c r="N122" s="18" t="s">
        <v>1003</v>
      </c>
      <c r="O122" s="19" t="s">
        <v>1004</v>
      </c>
      <c r="P122" s="19" t="s">
        <v>421</v>
      </c>
      <c r="Q122" s="19">
        <v>16964</v>
      </c>
      <c r="R122" s="18" t="s">
        <v>41</v>
      </c>
      <c r="S122" s="18" t="s">
        <v>52</v>
      </c>
      <c r="T122" s="21" t="str">
        <f>VLOOKUP(C122,'[1]TABEL SMA'!$C$8:$D$343,2,0)</f>
        <v>SMAN 1 GUNUNG PUTRI</v>
      </c>
      <c r="U122" s="22" t="str">
        <f>IFERROR(VLOOKUP(Table11[[#This Row],[Nama]],'[1]TABEL BEASISWA'!$B$4:$D$202,2,FALSE),"TIDAK")</f>
        <v>TIDAK</v>
      </c>
      <c r="V122" s="23" t="str">
        <f>IFERROR(VLOOKUP(Table11[[#This Row],[Nama]],'[1]TABEL BEASISWA'!$B$4:$D$202,3,FALSE),"Tidak ada")</f>
        <v>Tidak ada</v>
      </c>
      <c r="W122" s="24" t="str">
        <f>IFERROR(VLOOKUP(Table11[[#This Row],[Nama]],'[1]TABEL BEASISWA'!$B$4:$E$202,4,FALSE)," ")</f>
        <v xml:space="preserve"> </v>
      </c>
      <c r="X122" s="25"/>
      <c r="Y122" s="25"/>
      <c r="Z122" s="26"/>
      <c r="AA122" s="25"/>
      <c r="AB122" s="25"/>
      <c r="AC122" s="130">
        <v>1001001</v>
      </c>
      <c r="AD122" s="130">
        <v>320102</v>
      </c>
      <c r="AE122" s="130">
        <v>3201022007</v>
      </c>
      <c r="AF122" s="130" t="s">
        <v>2346</v>
      </c>
    </row>
    <row r="123" spans="1:32" ht="28">
      <c r="A123" s="10">
        <f t="shared" si="2"/>
        <v>122</v>
      </c>
      <c r="B123" s="56">
        <v>2230124123</v>
      </c>
      <c r="C123" s="37" t="s">
        <v>1005</v>
      </c>
      <c r="D123" s="57" t="s">
        <v>1006</v>
      </c>
      <c r="E123" s="11" t="s">
        <v>1007</v>
      </c>
      <c r="F123" s="19" t="s">
        <v>67</v>
      </c>
      <c r="G123" s="27" t="s">
        <v>1008</v>
      </c>
      <c r="H123" s="12" t="s">
        <v>34</v>
      </c>
      <c r="I123" s="133">
        <v>38880</v>
      </c>
      <c r="J123" s="19" t="s">
        <v>35</v>
      </c>
      <c r="K123" s="17" t="s">
        <v>1009</v>
      </c>
      <c r="L123" s="11" t="s">
        <v>60</v>
      </c>
      <c r="M123" s="11" t="s">
        <v>79</v>
      </c>
      <c r="N123" s="18" t="s">
        <v>1010</v>
      </c>
      <c r="O123" s="19" t="s">
        <v>1010</v>
      </c>
      <c r="P123" s="19" t="s">
        <v>1011</v>
      </c>
      <c r="Q123" s="19">
        <v>12530</v>
      </c>
      <c r="R123" s="18" t="s">
        <v>41</v>
      </c>
      <c r="S123" s="18" t="s">
        <v>52</v>
      </c>
      <c r="T123" s="21" t="str">
        <f>VLOOKUP(C123,'[1]TABEL SMA'!$C$8:$D$343,2,0)</f>
        <v>SMA NEGERI 29 JAKARTA</v>
      </c>
      <c r="U123" s="22" t="str">
        <f>IFERROR(VLOOKUP(Table11[[#This Row],[Nama]],'[1]TABEL BEASISWA'!$B$4:$D$202,2,FALSE),"TIDAK")</f>
        <v>TIDAK</v>
      </c>
      <c r="V123" s="23" t="str">
        <f>IFERROR(VLOOKUP(Table11[[#This Row],[Nama]],'[1]TABEL BEASISWA'!$B$4:$D$202,3,FALSE),"Tidak ada")</f>
        <v>Tidak ada</v>
      </c>
      <c r="W123" s="24" t="str">
        <f>IFERROR(VLOOKUP(Table11[[#This Row],[Nama]],'[1]TABEL BEASISWA'!$B$4:$E$202,4,FALSE)," ")</f>
        <v xml:space="preserve"> </v>
      </c>
      <c r="X123" s="25"/>
      <c r="Y123" s="25"/>
      <c r="Z123" s="26"/>
      <c r="AA123" s="25"/>
      <c r="AB123" s="25"/>
      <c r="AC123" s="130">
        <v>1001001</v>
      </c>
      <c r="AD123" s="130">
        <v>317409</v>
      </c>
      <c r="AE123" s="130">
        <v>3174091005</v>
      </c>
      <c r="AF123" s="130" t="s">
        <v>2346</v>
      </c>
    </row>
    <row r="124" spans="1:32">
      <c r="A124" s="10">
        <f t="shared" si="2"/>
        <v>123</v>
      </c>
      <c r="B124" s="56">
        <v>2230124124</v>
      </c>
      <c r="C124" s="37" t="s">
        <v>1012</v>
      </c>
      <c r="D124" s="57" t="s">
        <v>1013</v>
      </c>
      <c r="E124" s="11" t="s">
        <v>1014</v>
      </c>
      <c r="F124" s="19" t="s">
        <v>32</v>
      </c>
      <c r="G124" s="27" t="s">
        <v>1015</v>
      </c>
      <c r="H124" s="12" t="s">
        <v>34</v>
      </c>
      <c r="I124" s="133">
        <v>38853</v>
      </c>
      <c r="J124" s="19" t="s">
        <v>856</v>
      </c>
      <c r="K124" s="17" t="s">
        <v>1016</v>
      </c>
      <c r="L124" s="11" t="s">
        <v>37</v>
      </c>
      <c r="M124" s="11" t="s">
        <v>572</v>
      </c>
      <c r="N124" s="18" t="s">
        <v>1017</v>
      </c>
      <c r="O124" s="19" t="s">
        <v>1017</v>
      </c>
      <c r="P124" s="19" t="s">
        <v>1018</v>
      </c>
      <c r="Q124" s="19">
        <v>13470</v>
      </c>
      <c r="R124" s="18" t="s">
        <v>41</v>
      </c>
      <c r="S124" s="18" t="s">
        <v>52</v>
      </c>
      <c r="T124" s="21" t="str">
        <f>VLOOKUP(C124,'[1]TABEL SMA'!$C$8:$D$343,2,0)</f>
        <v>SMAN 59 JAKARTA</v>
      </c>
      <c r="U124" s="22" t="str">
        <f>IFERROR(VLOOKUP(Table11[[#This Row],[Nama]],'[1]TABEL BEASISWA'!$B$4:$D$202,2,FALSE),"TIDAK")</f>
        <v>TIDAK</v>
      </c>
      <c r="V124" s="23" t="str">
        <f>IFERROR(VLOOKUP(Table11[[#This Row],[Nama]],'[1]TABEL BEASISWA'!$B$4:$D$202,3,FALSE),"Tidak ada")</f>
        <v>Tidak ada</v>
      </c>
      <c r="W124" s="24" t="str">
        <f>IFERROR(VLOOKUP(Table11[[#This Row],[Nama]],'[1]TABEL BEASISWA'!$B$4:$E$202,4,FALSE)," ")</f>
        <v xml:space="preserve"> </v>
      </c>
      <c r="X124" s="25"/>
      <c r="Y124" s="25"/>
      <c r="Z124" s="26"/>
      <c r="AA124" s="25"/>
      <c r="AB124" s="25"/>
      <c r="AC124" s="130">
        <v>1001005</v>
      </c>
      <c r="AD124" s="130">
        <v>317507</v>
      </c>
      <c r="AE124" s="130">
        <v>3175071003</v>
      </c>
      <c r="AF124" s="130" t="s">
        <v>2346</v>
      </c>
    </row>
    <row r="125" spans="1:32" ht="28">
      <c r="A125" s="10">
        <f t="shared" si="2"/>
        <v>124</v>
      </c>
      <c r="B125" s="56">
        <v>2230124125</v>
      </c>
      <c r="C125" s="37" t="s">
        <v>1019</v>
      </c>
      <c r="D125" s="57" t="s">
        <v>1020</v>
      </c>
      <c r="E125" s="11" t="s">
        <v>1021</v>
      </c>
      <c r="F125" s="19" t="s">
        <v>67</v>
      </c>
      <c r="G125" s="27" t="s">
        <v>1022</v>
      </c>
      <c r="H125" s="12" t="s">
        <v>158</v>
      </c>
      <c r="I125" s="133">
        <v>38765</v>
      </c>
      <c r="J125" s="19" t="s">
        <v>35</v>
      </c>
      <c r="K125" s="17" t="s">
        <v>1023</v>
      </c>
      <c r="L125" s="11" t="s">
        <v>61</v>
      </c>
      <c r="M125" s="11" t="s">
        <v>79</v>
      </c>
      <c r="N125" s="18" t="s">
        <v>40</v>
      </c>
      <c r="O125" s="19" t="s">
        <v>40</v>
      </c>
      <c r="P125" s="19" t="s">
        <v>40</v>
      </c>
      <c r="Q125" s="19">
        <v>13840</v>
      </c>
      <c r="R125" s="18" t="s">
        <v>41</v>
      </c>
      <c r="S125" s="18" t="s">
        <v>850</v>
      </c>
      <c r="T125" s="21" t="str">
        <f>VLOOKUP(C125,'[1]TABEL SMA'!$C$8:$D$343,2,0)</f>
        <v>SMA BINA SATRIA LUBUKLINGGAU</v>
      </c>
      <c r="U125" s="22" t="str">
        <f>IFERROR(VLOOKUP(Table11[[#This Row],[Nama]],'[1]TABEL BEASISWA'!$B$4:$D$202,2,FALSE),"TIDAK")</f>
        <v>TIDAK</v>
      </c>
      <c r="V125" s="23" t="str">
        <f>IFERROR(VLOOKUP(Table11[[#This Row],[Nama]],'[1]TABEL BEASISWA'!$B$4:$D$202,3,FALSE),"Tidak ada")</f>
        <v>Tidak ada</v>
      </c>
      <c r="W125" s="24" t="str">
        <f>IFERROR(VLOOKUP(Table11[[#This Row],[Nama]],'[1]TABEL BEASISWA'!$B$4:$E$202,4,FALSE)," ")</f>
        <v xml:space="preserve"> </v>
      </c>
      <c r="X125" s="25"/>
      <c r="Y125" s="25"/>
      <c r="Z125" s="26"/>
      <c r="AA125" s="25"/>
      <c r="AB125" s="25"/>
      <c r="AC125" s="130">
        <v>1001001</v>
      </c>
      <c r="AD125" s="130">
        <v>327607</v>
      </c>
      <c r="AE125" s="130">
        <v>3276071001</v>
      </c>
      <c r="AF125" s="130" t="s">
        <v>2348</v>
      </c>
    </row>
    <row r="126" spans="1:32">
      <c r="A126" s="10">
        <f t="shared" si="2"/>
        <v>125</v>
      </c>
      <c r="B126" s="56">
        <v>2230124126</v>
      </c>
      <c r="C126" s="37" t="s">
        <v>1024</v>
      </c>
      <c r="D126" s="57" t="s">
        <v>1025</v>
      </c>
      <c r="E126" s="11" t="s">
        <v>1026</v>
      </c>
      <c r="F126" s="19" t="s">
        <v>32</v>
      </c>
      <c r="G126" s="27" t="s">
        <v>1027</v>
      </c>
      <c r="H126" s="12" t="s">
        <v>454</v>
      </c>
      <c r="I126" s="133">
        <v>38775</v>
      </c>
      <c r="J126" s="19" t="s">
        <v>35</v>
      </c>
      <c r="K126" s="17" t="s">
        <v>1028</v>
      </c>
      <c r="L126" s="11" t="s">
        <v>169</v>
      </c>
      <c r="M126" s="11" t="s">
        <v>50</v>
      </c>
      <c r="N126" s="18" t="s">
        <v>1029</v>
      </c>
      <c r="O126" s="19" t="s">
        <v>1029</v>
      </c>
      <c r="P126" s="19" t="s">
        <v>1030</v>
      </c>
      <c r="Q126" s="19">
        <v>17145</v>
      </c>
      <c r="R126" s="18" t="s">
        <v>41</v>
      </c>
      <c r="S126" s="18" t="s">
        <v>365</v>
      </c>
      <c r="T126" s="21" t="str">
        <f>VLOOKUP(C126,'[1]TABEL SMA'!$C$8:$D$343,2,0)</f>
        <v>SMAN 8 BEKASI</v>
      </c>
      <c r="U126" s="22" t="str">
        <f>IFERROR(VLOOKUP(Table11[[#This Row],[Nama]],'[1]TABEL BEASISWA'!$B$4:$D$202,2,FALSE),"TIDAK")</f>
        <v>TIDAK</v>
      </c>
      <c r="V126" s="23" t="str">
        <f>IFERROR(VLOOKUP(Table11[[#This Row],[Nama]],'[1]TABEL BEASISWA'!$B$4:$D$202,3,FALSE),"Tidak ada")</f>
        <v>Tidak ada</v>
      </c>
      <c r="W126" s="24" t="str">
        <f>IFERROR(VLOOKUP(Table11[[#This Row],[Nama]],'[1]TABEL BEASISWA'!$B$4:$E$202,4,FALSE)," ")</f>
        <v xml:space="preserve"> </v>
      </c>
      <c r="X126" s="25"/>
      <c r="Y126" s="25"/>
      <c r="Z126" s="26"/>
      <c r="AA126" s="25"/>
      <c r="AB126" s="25"/>
      <c r="AC126" s="130">
        <v>1001001</v>
      </c>
      <c r="AD126" s="130">
        <v>327502</v>
      </c>
      <c r="AE126" s="130"/>
      <c r="AF126" s="130" t="s">
        <v>2347</v>
      </c>
    </row>
    <row r="127" spans="1:32" ht="42">
      <c r="A127" s="10">
        <f t="shared" si="2"/>
        <v>126</v>
      </c>
      <c r="B127" s="56">
        <v>2230124127</v>
      </c>
      <c r="C127" s="37" t="s">
        <v>1031</v>
      </c>
      <c r="D127" s="57" t="s">
        <v>1032</v>
      </c>
      <c r="E127" s="11" t="s">
        <v>1033</v>
      </c>
      <c r="F127" s="19" t="s">
        <v>32</v>
      </c>
      <c r="G127" s="27" t="s">
        <v>1034</v>
      </c>
      <c r="H127" s="12" t="s">
        <v>393</v>
      </c>
      <c r="I127" s="132">
        <v>38622</v>
      </c>
      <c r="J127" s="19" t="s">
        <v>97</v>
      </c>
      <c r="K127" s="17" t="s">
        <v>1035</v>
      </c>
      <c r="L127" s="11" t="s">
        <v>917</v>
      </c>
      <c r="M127" s="11" t="s">
        <v>572</v>
      </c>
      <c r="N127" s="18" t="s">
        <v>1036</v>
      </c>
      <c r="O127" s="19" t="s">
        <v>1036</v>
      </c>
      <c r="P127" s="19" t="s">
        <v>1037</v>
      </c>
      <c r="Q127" s="19">
        <v>10630</v>
      </c>
      <c r="R127" s="18" t="s">
        <v>41</v>
      </c>
      <c r="S127" s="18" t="s">
        <v>52</v>
      </c>
      <c r="T127" s="21" t="str">
        <f>VLOOKUP(C127,'[1]TABEL SMA'!$C$8:$D$343,2,0)</f>
        <v>SMA KARTINI 1, KEMAYORAN, JAKARTA PUSAT</v>
      </c>
      <c r="U127" s="22" t="str">
        <f>IFERROR(VLOOKUP(Table11[[#This Row],[Nama]],'[1]TABEL BEASISWA'!$B$4:$D$202,2,FALSE),"TIDAK")</f>
        <v>TIDAK</v>
      </c>
      <c r="V127" s="23" t="str">
        <f>IFERROR(VLOOKUP(Table11[[#This Row],[Nama]],'[1]TABEL BEASISWA'!$B$4:$D$202,3,FALSE),"Tidak ada")</f>
        <v>Tidak ada</v>
      </c>
      <c r="W127" s="24" t="str">
        <f>IFERROR(VLOOKUP(Table11[[#This Row],[Nama]],'[1]TABEL BEASISWA'!$B$4:$E$202,4,FALSE)," ")</f>
        <v xml:space="preserve"> </v>
      </c>
      <c r="X127" s="25"/>
      <c r="Y127" s="25"/>
      <c r="Z127" s="26"/>
      <c r="AA127" s="25"/>
      <c r="AB127" s="25"/>
      <c r="AC127" s="130">
        <v>1001002</v>
      </c>
      <c r="AD127" s="130">
        <v>317103</v>
      </c>
      <c r="AE127" s="130">
        <v>3171031002</v>
      </c>
      <c r="AF127" s="130" t="s">
        <v>2346</v>
      </c>
    </row>
    <row r="128" spans="1:32" ht="28">
      <c r="A128" s="10">
        <f t="shared" si="2"/>
        <v>127</v>
      </c>
      <c r="B128" s="56">
        <v>2230124128</v>
      </c>
      <c r="C128" s="37" t="s">
        <v>1038</v>
      </c>
      <c r="D128" s="57" t="s">
        <v>1039</v>
      </c>
      <c r="E128" s="19" t="s">
        <v>140</v>
      </c>
      <c r="F128" s="19" t="s">
        <v>32</v>
      </c>
      <c r="G128" s="27" t="s">
        <v>1040</v>
      </c>
      <c r="H128" s="12" t="s">
        <v>1041</v>
      </c>
      <c r="I128" s="132">
        <v>27923</v>
      </c>
      <c r="J128" s="19" t="s">
        <v>35</v>
      </c>
      <c r="K128" s="17" t="s">
        <v>1042</v>
      </c>
      <c r="L128" s="11" t="s">
        <v>1043</v>
      </c>
      <c r="M128" s="11" t="s">
        <v>1043</v>
      </c>
      <c r="N128" s="18" t="s">
        <v>1044</v>
      </c>
      <c r="O128" s="19" t="s">
        <v>1044</v>
      </c>
      <c r="P128" s="19" t="s">
        <v>1045</v>
      </c>
      <c r="Q128" s="19">
        <v>24415</v>
      </c>
      <c r="R128" s="18" t="s">
        <v>41</v>
      </c>
      <c r="S128" s="18" t="s">
        <v>52</v>
      </c>
      <c r="T128" s="21" t="str">
        <f>VLOOKUP(C128,'[1]TABEL SMA'!$C$8:$D$343,2,0)</f>
        <v>SMA NEGERI 2 MEULABOH</v>
      </c>
      <c r="U128" s="22" t="str">
        <f>IFERROR(VLOOKUP(Table11[[#This Row],[Nama]],'[1]TABEL BEASISWA'!$B$4:$D$202,2,FALSE),"TIDAK")</f>
        <v>TIDAK</v>
      </c>
      <c r="V128" s="23" t="str">
        <f>IFERROR(VLOOKUP(Table11[[#This Row],[Nama]],'[1]TABEL BEASISWA'!$B$4:$D$202,3,FALSE),"Tidak ada")</f>
        <v>Tidak ada</v>
      </c>
      <c r="W128" s="24" t="str">
        <f>IFERROR(VLOOKUP(Table11[[#This Row],[Nama]],'[1]TABEL BEASISWA'!$B$4:$E$202,4,FALSE)," ")</f>
        <v xml:space="preserve"> </v>
      </c>
      <c r="X128" s="25"/>
      <c r="Y128" s="25"/>
      <c r="Z128" s="26"/>
      <c r="AA128" s="25"/>
      <c r="AB128" s="25"/>
      <c r="AC128" s="130">
        <v>1001001</v>
      </c>
      <c r="AD128" s="130">
        <v>117104</v>
      </c>
      <c r="AE128" s="130">
        <v>1171042005</v>
      </c>
      <c r="AF128" s="130" t="s">
        <v>2346</v>
      </c>
    </row>
    <row r="129" spans="1:32" ht="28">
      <c r="A129" s="10">
        <f t="shared" si="2"/>
        <v>128</v>
      </c>
      <c r="B129" s="56">
        <v>2230124129</v>
      </c>
      <c r="C129" s="25" t="s">
        <v>1046</v>
      </c>
      <c r="D129" s="57" t="s">
        <v>1047</v>
      </c>
      <c r="E129" s="11" t="s">
        <v>1048</v>
      </c>
      <c r="F129" s="19" t="s">
        <v>67</v>
      </c>
      <c r="G129" s="27" t="s">
        <v>1049</v>
      </c>
      <c r="H129" s="12" t="s">
        <v>34</v>
      </c>
      <c r="I129" s="133">
        <v>38135</v>
      </c>
      <c r="J129" s="19" t="s">
        <v>35</v>
      </c>
      <c r="K129" s="17" t="s">
        <v>1050</v>
      </c>
      <c r="L129" s="11" t="s">
        <v>480</v>
      </c>
      <c r="M129" s="11" t="s">
        <v>169</v>
      </c>
      <c r="N129" s="18" t="s">
        <v>574</v>
      </c>
      <c r="O129" s="19" t="s">
        <v>574</v>
      </c>
      <c r="P129" s="19" t="s">
        <v>574</v>
      </c>
      <c r="Q129" s="19">
        <v>13740</v>
      </c>
      <c r="R129" s="18" t="s">
        <v>41</v>
      </c>
      <c r="S129" s="18" t="s">
        <v>52</v>
      </c>
      <c r="T129" s="21" t="str">
        <f>VLOOKUP(C129,'[1]TABEL SMA'!$C$8:$D$343,2,0)</f>
        <v>SMA CHARTAR BUANA</v>
      </c>
      <c r="U129" s="22" t="str">
        <f>IFERROR(VLOOKUP(Table11[[#This Row],[Nama]],'[1]TABEL BEASISWA'!$B$4:$D$202,2,FALSE),"TIDAK")</f>
        <v>TIDAK</v>
      </c>
      <c r="V129" s="23" t="str">
        <f>IFERROR(VLOOKUP(Table11[[#This Row],[Nama]],'[1]TABEL BEASISWA'!$B$4:$D$202,3,FALSE),"Tidak ada")</f>
        <v>Tidak ada</v>
      </c>
      <c r="W129" s="24" t="str">
        <f>IFERROR(VLOOKUP(Table11[[#This Row],[Nama]],'[1]TABEL BEASISWA'!$B$4:$E$202,4,FALSE)," ")</f>
        <v xml:space="preserve"> </v>
      </c>
      <c r="X129" s="25"/>
      <c r="Y129" s="25"/>
      <c r="Z129" s="26"/>
      <c r="AA129" s="25"/>
      <c r="AB129" s="25"/>
      <c r="AC129" s="130">
        <v>1001001</v>
      </c>
      <c r="AD129" s="130">
        <v>317509</v>
      </c>
      <c r="AE129" s="130">
        <v>3175091001</v>
      </c>
      <c r="AF129" s="130" t="s">
        <v>2346</v>
      </c>
    </row>
    <row r="130" spans="1:32">
      <c r="A130" s="10">
        <f t="shared" si="2"/>
        <v>129</v>
      </c>
      <c r="B130" s="56">
        <v>2230124130</v>
      </c>
      <c r="C130" s="25" t="s">
        <v>1051</v>
      </c>
      <c r="D130" s="57" t="s">
        <v>1052</v>
      </c>
      <c r="E130" s="11" t="s">
        <v>1053</v>
      </c>
      <c r="F130" s="19" t="s">
        <v>32</v>
      </c>
      <c r="G130" s="27" t="s">
        <v>1054</v>
      </c>
      <c r="H130" s="12" t="s">
        <v>294</v>
      </c>
      <c r="I130" s="132">
        <v>38606</v>
      </c>
      <c r="J130" s="19" t="s">
        <v>35</v>
      </c>
      <c r="K130" s="17" t="s">
        <v>1055</v>
      </c>
      <c r="L130" s="11" t="s">
        <v>143</v>
      </c>
      <c r="M130" s="11" t="s">
        <v>143</v>
      </c>
      <c r="N130" s="18" t="s">
        <v>1056</v>
      </c>
      <c r="O130" s="19" t="s">
        <v>1056</v>
      </c>
      <c r="P130" s="19" t="s">
        <v>1057</v>
      </c>
      <c r="Q130" s="19">
        <v>15610</v>
      </c>
      <c r="R130" s="18" t="s">
        <v>41</v>
      </c>
      <c r="S130" s="18" t="s">
        <v>52</v>
      </c>
      <c r="T130" s="21" t="str">
        <f>VLOOKUP(C130,'[1]TABEL SMA'!$C$8:$D$343,2,0)</f>
        <v>SMA CITRA ISLAMI</v>
      </c>
      <c r="U130" s="22" t="str">
        <f>IFERROR(VLOOKUP(Table11[[#This Row],[Nama]],'[1]TABEL BEASISWA'!$B$4:$D$202,2,FALSE),"TIDAK")</f>
        <v>TIDAK</v>
      </c>
      <c r="V130" s="23" t="str">
        <f>IFERROR(VLOOKUP(Table11[[#This Row],[Nama]],'[1]TABEL BEASISWA'!$B$4:$D$202,3,FALSE),"Tidak ada")</f>
        <v>Tidak ada</v>
      </c>
      <c r="W130" s="24" t="str">
        <f>IFERROR(VLOOKUP(Table11[[#This Row],[Nama]],'[1]TABEL BEASISWA'!$B$4:$E$202,4,FALSE)," ")</f>
        <v xml:space="preserve"> </v>
      </c>
      <c r="X130" s="25"/>
      <c r="Y130" s="25"/>
      <c r="Z130" s="26"/>
      <c r="AA130" s="25"/>
      <c r="AB130" s="25"/>
      <c r="AC130" s="130">
        <v>1001001</v>
      </c>
      <c r="AD130" s="130">
        <v>360301</v>
      </c>
      <c r="AE130" s="130">
        <v>3603012003</v>
      </c>
      <c r="AF130" s="130" t="s">
        <v>2346</v>
      </c>
    </row>
    <row r="131" spans="1:32" ht="28">
      <c r="A131" s="10">
        <f t="shared" si="2"/>
        <v>130</v>
      </c>
      <c r="B131" s="56">
        <v>2230124131</v>
      </c>
      <c r="C131" s="25" t="s">
        <v>1058</v>
      </c>
      <c r="D131" s="57" t="s">
        <v>1059</v>
      </c>
      <c r="E131" s="11" t="s">
        <v>1060</v>
      </c>
      <c r="F131" s="19" t="s">
        <v>32</v>
      </c>
      <c r="G131" s="27" t="s">
        <v>1061</v>
      </c>
      <c r="H131" s="12" t="s">
        <v>34</v>
      </c>
      <c r="I131" s="132">
        <v>38571</v>
      </c>
      <c r="J131" s="19" t="s">
        <v>35</v>
      </c>
      <c r="K131" s="17" t="s">
        <v>1062</v>
      </c>
      <c r="L131" s="11" t="s">
        <v>169</v>
      </c>
      <c r="M131" s="11" t="s">
        <v>143</v>
      </c>
      <c r="N131" s="18" t="s">
        <v>1063</v>
      </c>
      <c r="O131" s="19" t="s">
        <v>1063</v>
      </c>
      <c r="P131" s="19" t="s">
        <v>1064</v>
      </c>
      <c r="Q131" s="19">
        <v>12860</v>
      </c>
      <c r="R131" s="18" t="s">
        <v>41</v>
      </c>
      <c r="S131" s="18" t="s">
        <v>52</v>
      </c>
      <c r="T131" s="21" t="str">
        <f>VLOOKUP(C131,'[1]TABEL SMA'!$C$8:$D$343,2,0)</f>
        <v>SMA NEGERI 8 DEPOK</v>
      </c>
      <c r="U131" s="22" t="str">
        <f>IFERROR(VLOOKUP(Table11[[#This Row],[Nama]],'[1]TABEL BEASISWA'!$B$4:$D$202,2,FALSE),"TIDAK")</f>
        <v>TIDAK</v>
      </c>
      <c r="V131" s="23" t="str">
        <f>IFERROR(VLOOKUP(Table11[[#This Row],[Nama]],'[1]TABEL BEASISWA'!$B$4:$D$202,3,FALSE),"Tidak ada")</f>
        <v>Tidak ada</v>
      </c>
      <c r="W131" s="24" t="str">
        <f>IFERROR(VLOOKUP(Table11[[#This Row],[Nama]],'[1]TABEL BEASISWA'!$B$4:$E$202,4,FALSE)," ")</f>
        <v xml:space="preserve"> </v>
      </c>
      <c r="X131" s="25"/>
      <c r="Y131" s="25"/>
      <c r="Z131" s="26"/>
      <c r="AA131" s="25"/>
      <c r="AB131" s="25"/>
      <c r="AC131" s="130">
        <v>1001001</v>
      </c>
      <c r="AD131" s="130">
        <v>317401</v>
      </c>
      <c r="AE131" s="130">
        <v>3174011006</v>
      </c>
      <c r="AF131" s="130" t="s">
        <v>2346</v>
      </c>
    </row>
    <row r="132" spans="1:32">
      <c r="A132" s="10">
        <f t="shared" si="2"/>
        <v>131</v>
      </c>
      <c r="B132" s="56">
        <v>2230124132</v>
      </c>
      <c r="C132" s="58" t="s">
        <v>1065</v>
      </c>
      <c r="D132" s="57" t="s">
        <v>1066</v>
      </c>
      <c r="E132" s="11" t="s">
        <v>1067</v>
      </c>
      <c r="F132" s="19" t="s">
        <v>32</v>
      </c>
      <c r="G132" s="27" t="s">
        <v>1068</v>
      </c>
      <c r="H132" s="12" t="s">
        <v>454</v>
      </c>
      <c r="I132" s="133">
        <v>38767</v>
      </c>
      <c r="J132" s="19" t="s">
        <v>35</v>
      </c>
      <c r="K132" s="17" t="s">
        <v>1069</v>
      </c>
      <c r="L132" s="11" t="s">
        <v>49</v>
      </c>
      <c r="M132" s="11" t="s">
        <v>1070</v>
      </c>
      <c r="N132" s="18" t="s">
        <v>859</v>
      </c>
      <c r="O132" s="19" t="s">
        <v>859</v>
      </c>
      <c r="P132" s="19" t="s">
        <v>1071</v>
      </c>
      <c r="Q132" s="19">
        <v>17158</v>
      </c>
      <c r="R132" s="18" t="s">
        <v>41</v>
      </c>
      <c r="S132" s="18" t="s">
        <v>365</v>
      </c>
      <c r="T132" s="21" t="str">
        <f>VLOOKUP(C132,'[1]TABEL SMA'!$C$8:$D$343,2,0)</f>
        <v>SMAN 1 BEKASI</v>
      </c>
      <c r="U132" s="22" t="str">
        <f>IFERROR(VLOOKUP(Table11[[#This Row],[Nama]],'[1]TABEL BEASISWA'!$B$4:$D$202,2,FALSE),"TIDAK")</f>
        <v>TIDAK</v>
      </c>
      <c r="V132" s="23" t="str">
        <f>IFERROR(VLOOKUP(Table11[[#This Row],[Nama]],'[1]TABEL BEASISWA'!$B$4:$D$202,3,FALSE),"Tidak ada")</f>
        <v>Tidak ada</v>
      </c>
      <c r="W132" s="24" t="str">
        <f>IFERROR(VLOOKUP(Table11[[#This Row],[Nama]],'[1]TABEL BEASISWA'!$B$4:$E$202,4,FALSE)," ")</f>
        <v xml:space="preserve"> </v>
      </c>
      <c r="X132" s="25"/>
      <c r="Y132" s="25"/>
      <c r="Z132" s="26"/>
      <c r="AA132" s="25"/>
      <c r="AB132" s="25"/>
      <c r="AC132" s="130">
        <v>1001001</v>
      </c>
      <c r="AD132" s="130"/>
      <c r="AE132" s="130"/>
      <c r="AF132" s="130" t="s">
        <v>2347</v>
      </c>
    </row>
    <row r="133" spans="1:32">
      <c r="A133" s="10">
        <f t="shared" si="2"/>
        <v>132</v>
      </c>
      <c r="B133" s="56">
        <v>2230124133</v>
      </c>
      <c r="C133" s="58" t="s">
        <v>1072</v>
      </c>
      <c r="D133" s="57" t="s">
        <v>1073</v>
      </c>
      <c r="E133" s="11" t="s">
        <v>1074</v>
      </c>
      <c r="F133" s="19" t="s">
        <v>32</v>
      </c>
      <c r="G133" s="27" t="s">
        <v>1075</v>
      </c>
      <c r="H133" s="12" t="s">
        <v>34</v>
      </c>
      <c r="I133" s="132">
        <v>38935</v>
      </c>
      <c r="J133" s="19" t="s">
        <v>35</v>
      </c>
      <c r="K133" s="17" t="s">
        <v>1076</v>
      </c>
      <c r="L133" s="11" t="s">
        <v>37</v>
      </c>
      <c r="M133" s="11" t="s">
        <v>61</v>
      </c>
      <c r="N133" s="18" t="s">
        <v>1077</v>
      </c>
      <c r="O133" s="19" t="s">
        <v>1078</v>
      </c>
      <c r="P133" s="19" t="s">
        <v>340</v>
      </c>
      <c r="Q133" s="19">
        <v>13350</v>
      </c>
      <c r="R133" s="18" t="s">
        <v>41</v>
      </c>
      <c r="S133" s="18" t="s">
        <v>52</v>
      </c>
      <c r="T133" s="21" t="str">
        <f>VLOOKUP(C133,'[1]TABEL SMA'!$C$8:$D$343,2,0)</f>
        <v>SMAN 53 JAKARTA</v>
      </c>
      <c r="U133" s="22" t="str">
        <f>IFERROR(VLOOKUP(Table11[[#This Row],[Nama]],'[1]TABEL BEASISWA'!$B$4:$D$202,2,FALSE),"TIDAK")</f>
        <v>YA</v>
      </c>
      <c r="V133" s="23" t="str">
        <f>IFERROR(VLOOKUP(Table11[[#This Row],[Nama]],'[1]TABEL BEASISWA'!$B$4:$D$202,3,FALSE),"Tidak ada")</f>
        <v>Beasiswa 100%, Umum</v>
      </c>
      <c r="W133" s="24" t="str">
        <f>IFERROR(VLOOKUP(Table11[[#This Row],[Nama]],'[1]TABEL BEASISWA'!$B$4:$E$202,4,FALSE)," ")</f>
        <v>Angkatan 4</v>
      </c>
      <c r="X133" s="25"/>
      <c r="Y133" s="25"/>
      <c r="Z133" s="26"/>
      <c r="AA133" s="25"/>
      <c r="AB133" s="25"/>
      <c r="AC133" s="130">
        <v>1001001</v>
      </c>
      <c r="AD133" s="130">
        <v>332807</v>
      </c>
      <c r="AE133" s="130"/>
      <c r="AF133" s="130" t="s">
        <v>2346</v>
      </c>
    </row>
    <row r="134" spans="1:32">
      <c r="A134" s="10">
        <f t="shared" si="2"/>
        <v>133</v>
      </c>
      <c r="B134" s="56">
        <v>2230124134</v>
      </c>
      <c r="C134" s="58" t="s">
        <v>1079</v>
      </c>
      <c r="D134" s="57" t="s">
        <v>1080</v>
      </c>
      <c r="E134" s="11" t="s">
        <v>1081</v>
      </c>
      <c r="F134" s="19" t="s">
        <v>32</v>
      </c>
      <c r="G134" s="27" t="s">
        <v>1082</v>
      </c>
      <c r="H134" s="12" t="s">
        <v>77</v>
      </c>
      <c r="I134" s="133">
        <v>36029</v>
      </c>
      <c r="J134" s="19" t="s">
        <v>35</v>
      </c>
      <c r="K134" s="17" t="s">
        <v>1083</v>
      </c>
      <c r="L134" s="11" t="s">
        <v>143</v>
      </c>
      <c r="M134" s="11" t="s">
        <v>437</v>
      </c>
      <c r="N134" s="18" t="s">
        <v>58</v>
      </c>
      <c r="O134" s="19" t="s">
        <v>58</v>
      </c>
      <c r="P134" s="19" t="s">
        <v>1084</v>
      </c>
      <c r="Q134" s="19">
        <v>16431</v>
      </c>
      <c r="R134" s="18" t="s">
        <v>41</v>
      </c>
      <c r="S134" s="18" t="s">
        <v>52</v>
      </c>
      <c r="T134" s="21" t="str">
        <f>VLOOKUP(C134,'[1]TABEL SMA'!$C$8:$D$343,2,0)</f>
        <v>SMA N 1 DEPOK</v>
      </c>
      <c r="U134" s="22" t="str">
        <f>IFERROR(VLOOKUP(Table11[[#This Row],[Nama]],'[1]TABEL BEASISWA'!$B$4:$D$202,2,FALSE),"TIDAK")</f>
        <v>TIDAK</v>
      </c>
      <c r="V134" s="23" t="str">
        <f>IFERROR(VLOOKUP(Table11[[#This Row],[Nama]],'[1]TABEL BEASISWA'!$B$4:$D$202,3,FALSE),"Tidak ada")</f>
        <v>Tidak ada</v>
      </c>
      <c r="W134" s="24" t="str">
        <f>IFERROR(VLOOKUP(Table11[[#This Row],[Nama]],'[1]TABEL BEASISWA'!$B$4:$E$202,4,FALSE)," ")</f>
        <v xml:space="preserve"> </v>
      </c>
      <c r="X134" s="25"/>
      <c r="Y134" s="25"/>
      <c r="Z134" s="26"/>
      <c r="AA134" s="25"/>
      <c r="AB134" s="25"/>
      <c r="AC134" s="130">
        <v>1001001</v>
      </c>
      <c r="AD134" s="130">
        <v>327601</v>
      </c>
      <c r="AE134" s="130">
        <v>3276011006</v>
      </c>
      <c r="AF134" s="130" t="s">
        <v>2346</v>
      </c>
    </row>
    <row r="135" spans="1:32" ht="28">
      <c r="A135" s="10">
        <f t="shared" si="2"/>
        <v>134</v>
      </c>
      <c r="B135" s="56">
        <v>2230124136</v>
      </c>
      <c r="C135" s="58" t="s">
        <v>1085</v>
      </c>
      <c r="D135" s="57" t="s">
        <v>1086</v>
      </c>
      <c r="E135" s="19" t="s">
        <v>140</v>
      </c>
      <c r="F135" s="19" t="s">
        <v>67</v>
      </c>
      <c r="G135" s="27" t="s">
        <v>1087</v>
      </c>
      <c r="H135" s="12" t="s">
        <v>1088</v>
      </c>
      <c r="I135" s="133">
        <v>33275</v>
      </c>
      <c r="J135" s="19" t="s">
        <v>410</v>
      </c>
      <c r="K135" s="17" t="s">
        <v>1089</v>
      </c>
      <c r="L135" s="11" t="s">
        <v>1043</v>
      </c>
      <c r="M135" s="11" t="s">
        <v>1043</v>
      </c>
      <c r="N135" s="18" t="s">
        <v>1090</v>
      </c>
      <c r="O135" s="19" t="s">
        <v>1090</v>
      </c>
      <c r="P135" s="19" t="s">
        <v>1091</v>
      </c>
      <c r="Q135" s="19">
        <v>80571</v>
      </c>
      <c r="R135" s="18" t="s">
        <v>41</v>
      </c>
      <c r="S135" s="18" t="s">
        <v>52</v>
      </c>
      <c r="T135" s="21" t="str">
        <f>VLOOKUP(C135,'[1]TABEL SMA'!$C$8:$D$343,2,0)</f>
        <v>SMA NEGERI 1 GIANYAR</v>
      </c>
      <c r="U135" s="22" t="str">
        <f>IFERROR(VLOOKUP(Table11[[#This Row],[Nama]],'[1]TABEL BEASISWA'!$B$4:$D$202,2,FALSE),"TIDAK")</f>
        <v>TIDAK</v>
      </c>
      <c r="V135" s="23" t="str">
        <f>IFERROR(VLOOKUP(Table11[[#This Row],[Nama]],'[1]TABEL BEASISWA'!$B$4:$D$202,3,FALSE),"Tidak ada")</f>
        <v>Tidak ada</v>
      </c>
      <c r="W135" s="24" t="str">
        <f>IFERROR(VLOOKUP(Table11[[#This Row],[Nama]],'[1]TABEL BEASISWA'!$B$4:$E$202,4,FALSE)," ")</f>
        <v xml:space="preserve"> </v>
      </c>
      <c r="X135" s="25"/>
      <c r="Y135" s="25"/>
      <c r="Z135" s="26"/>
      <c r="AA135" s="25"/>
      <c r="AB135" s="25"/>
      <c r="AC135" s="130">
        <v>1001003</v>
      </c>
      <c r="AD135" s="130">
        <v>510405</v>
      </c>
      <c r="AE135" s="130">
        <v>5104052006</v>
      </c>
      <c r="AF135" s="130" t="s">
        <v>2346</v>
      </c>
    </row>
    <row r="136" spans="1:32" ht="28">
      <c r="A136" s="10">
        <f t="shared" si="2"/>
        <v>135</v>
      </c>
      <c r="B136" s="56">
        <v>2230124137</v>
      </c>
      <c r="C136" s="58" t="s">
        <v>1092</v>
      </c>
      <c r="D136" s="57" t="s">
        <v>1093</v>
      </c>
      <c r="E136" s="11" t="s">
        <v>1094</v>
      </c>
      <c r="F136" s="19" t="s">
        <v>67</v>
      </c>
      <c r="G136" s="27" t="s">
        <v>1095</v>
      </c>
      <c r="H136" s="12" t="s">
        <v>77</v>
      </c>
      <c r="I136" s="132">
        <v>38953</v>
      </c>
      <c r="J136" s="19" t="s">
        <v>35</v>
      </c>
      <c r="K136" s="17" t="s">
        <v>1096</v>
      </c>
      <c r="L136" s="11" t="s">
        <v>1043</v>
      </c>
      <c r="M136" s="11" t="s">
        <v>1043</v>
      </c>
      <c r="N136" s="18" t="s">
        <v>1097</v>
      </c>
      <c r="O136" s="19" t="s">
        <v>1097</v>
      </c>
      <c r="P136" s="19" t="s">
        <v>1098</v>
      </c>
      <c r="Q136" s="19">
        <v>12530</v>
      </c>
      <c r="R136" s="18" t="s">
        <v>41</v>
      </c>
      <c r="S136" s="18" t="s">
        <v>52</v>
      </c>
      <c r="T136" s="21" t="str">
        <f>VLOOKUP(C136,'[1]TABEL SMA'!$C$8:$D$343,2,0)</f>
        <v>SMA NEGRI 1 KUTACANE</v>
      </c>
      <c r="U136" s="22" t="str">
        <f>IFERROR(VLOOKUP(Table11[[#This Row],[Nama]],'[1]TABEL BEASISWA'!$B$4:$D$202,2,FALSE),"TIDAK")</f>
        <v>TIDAK</v>
      </c>
      <c r="V136" s="23" t="str">
        <f>IFERROR(VLOOKUP(Table11[[#This Row],[Nama]],'[1]TABEL BEASISWA'!$B$4:$D$202,3,FALSE),"Tidak ada")</f>
        <v>Tidak ada</v>
      </c>
      <c r="W136" s="24" t="str">
        <f>IFERROR(VLOOKUP(Table11[[#This Row],[Nama]],'[1]TABEL BEASISWA'!$B$4:$E$202,4,FALSE)," ")</f>
        <v xml:space="preserve"> </v>
      </c>
      <c r="X136" s="25"/>
      <c r="Y136" s="25"/>
      <c r="Z136" s="26"/>
      <c r="AA136" s="25"/>
      <c r="AB136" s="25"/>
      <c r="AC136" s="130">
        <v>1001001</v>
      </c>
      <c r="AD136" s="130">
        <v>110201</v>
      </c>
      <c r="AE136" s="130">
        <v>1102012011</v>
      </c>
      <c r="AF136" s="130" t="s">
        <v>2346</v>
      </c>
    </row>
    <row r="137" spans="1:32" ht="28">
      <c r="A137" s="10">
        <f t="shared" si="2"/>
        <v>136</v>
      </c>
      <c r="B137" s="56">
        <v>2230124138</v>
      </c>
      <c r="C137" s="58" t="s">
        <v>1099</v>
      </c>
      <c r="D137" s="57" t="s">
        <v>1100</v>
      </c>
      <c r="E137" s="11" t="s">
        <v>1101</v>
      </c>
      <c r="F137" s="19" t="s">
        <v>67</v>
      </c>
      <c r="G137" s="27" t="s">
        <v>1102</v>
      </c>
      <c r="H137" s="12" t="s">
        <v>454</v>
      </c>
      <c r="I137" s="133">
        <v>38827</v>
      </c>
      <c r="J137" s="19" t="s">
        <v>35</v>
      </c>
      <c r="K137" s="17" t="s">
        <v>1103</v>
      </c>
      <c r="L137" s="11" t="s">
        <v>61</v>
      </c>
      <c r="M137" s="11" t="s">
        <v>60</v>
      </c>
      <c r="N137" s="18" t="s">
        <v>1104</v>
      </c>
      <c r="O137" s="19" t="s">
        <v>1104</v>
      </c>
      <c r="P137" s="19" t="s">
        <v>574</v>
      </c>
      <c r="Q137" s="19">
        <v>13830</v>
      </c>
      <c r="R137" s="18" t="s">
        <v>41</v>
      </c>
      <c r="S137" s="18" t="s">
        <v>52</v>
      </c>
      <c r="T137" s="21" t="str">
        <f>VLOOKUP(C137,'[1]TABEL SMA'!$C$8:$D$343,2,0)</f>
        <v>SMKS BUDHI WARMAN 1 JAKARTA</v>
      </c>
      <c r="U137" s="22" t="str">
        <f>IFERROR(VLOOKUP(Table11[[#This Row],[Nama]],'[1]TABEL BEASISWA'!$B$4:$D$202,2,FALSE),"TIDAK")</f>
        <v>TIDAK</v>
      </c>
      <c r="V137" s="23" t="str">
        <f>IFERROR(VLOOKUP(Table11[[#This Row],[Nama]],'[1]TABEL BEASISWA'!$B$4:$D$202,3,FALSE),"Tidak ada")</f>
        <v>Tidak ada</v>
      </c>
      <c r="W137" s="24" t="str">
        <f>IFERROR(VLOOKUP(Table11[[#This Row],[Nama]],'[1]TABEL BEASISWA'!$B$4:$E$202,4,FALSE)," ")</f>
        <v xml:space="preserve"> </v>
      </c>
      <c r="X137" s="25"/>
      <c r="Y137" s="25"/>
      <c r="Z137" s="26"/>
      <c r="AA137" s="25"/>
      <c r="AB137" s="25"/>
      <c r="AC137" s="130">
        <v>1001001</v>
      </c>
      <c r="AD137" s="130">
        <v>317509</v>
      </c>
      <c r="AE137" s="130">
        <v>3175091005</v>
      </c>
      <c r="AF137" s="130" t="s">
        <v>2346</v>
      </c>
    </row>
    <row r="138" spans="1:32">
      <c r="A138" s="40">
        <f t="shared" si="2"/>
        <v>137</v>
      </c>
      <c r="B138" s="59">
        <v>2230124139</v>
      </c>
      <c r="C138" s="60" t="s">
        <v>1105</v>
      </c>
      <c r="D138" s="57" t="s">
        <v>1106</v>
      </c>
      <c r="E138" s="11" t="s">
        <v>1107</v>
      </c>
      <c r="F138" s="19" t="s">
        <v>67</v>
      </c>
      <c r="G138" s="27" t="s">
        <v>1087</v>
      </c>
      <c r="H138" s="12" t="s">
        <v>34</v>
      </c>
      <c r="I138" s="133">
        <v>38889</v>
      </c>
      <c r="J138" s="19" t="s">
        <v>35</v>
      </c>
      <c r="K138" s="17" t="s">
        <v>1108</v>
      </c>
      <c r="L138" s="11" t="s">
        <v>169</v>
      </c>
      <c r="M138" s="11" t="s">
        <v>49</v>
      </c>
      <c r="N138" s="18" t="s">
        <v>565</v>
      </c>
      <c r="O138" s="19" t="s">
        <v>565</v>
      </c>
      <c r="P138" s="19" t="s">
        <v>565</v>
      </c>
      <c r="Q138" s="19">
        <v>13560</v>
      </c>
      <c r="R138" s="18" t="s">
        <v>41</v>
      </c>
      <c r="S138" s="18" t="s">
        <v>52</v>
      </c>
      <c r="T138" s="21" t="e">
        <f>VLOOKUP(C138,'[1]TABEL SMA'!$C$8:$D$343,2,0)</f>
        <v>#N/A</v>
      </c>
      <c r="U138" s="22" t="str">
        <f>IFERROR(VLOOKUP(Table11[[#This Row],[Nama]],'[1]TABEL BEASISWA'!$B$4:$D$202,2,FALSE),"TIDAK")</f>
        <v>TIDAK</v>
      </c>
      <c r="V138" s="23" t="str">
        <f>IFERROR(VLOOKUP(Table11[[#This Row],[Nama]],'[1]TABEL BEASISWA'!$B$4:$D$202,3,FALSE),"Tidak ada")</f>
        <v>Tidak ada</v>
      </c>
      <c r="W138" s="24" t="str">
        <f>IFERROR(VLOOKUP(Table11[[#This Row],[Nama]],'[1]TABEL BEASISWA'!$B$4:$E$202,4,FALSE)," ")</f>
        <v xml:space="preserve"> </v>
      </c>
      <c r="X138" s="25"/>
      <c r="Y138" s="25"/>
      <c r="Z138" s="26"/>
      <c r="AA138" s="25"/>
      <c r="AB138" s="25"/>
      <c r="AC138" s="130">
        <v>1001001</v>
      </c>
      <c r="AD138" s="130">
        <v>317508</v>
      </c>
      <c r="AE138" s="130">
        <v>3175081001</v>
      </c>
      <c r="AF138" s="130" t="s">
        <v>2346</v>
      </c>
    </row>
    <row r="139" spans="1:32" ht="28">
      <c r="A139" s="10">
        <f t="shared" si="2"/>
        <v>138</v>
      </c>
      <c r="B139" s="56">
        <v>2230124140</v>
      </c>
      <c r="C139" s="58" t="s">
        <v>1109</v>
      </c>
      <c r="D139" s="57" t="s">
        <v>1110</v>
      </c>
      <c r="E139" s="11" t="s">
        <v>1111</v>
      </c>
      <c r="F139" s="19" t="s">
        <v>32</v>
      </c>
      <c r="G139" s="27" t="s">
        <v>1112</v>
      </c>
      <c r="H139" s="12" t="s">
        <v>195</v>
      </c>
      <c r="I139" s="133">
        <v>38700</v>
      </c>
      <c r="J139" s="19" t="s">
        <v>35</v>
      </c>
      <c r="K139" s="17" t="s">
        <v>1113</v>
      </c>
      <c r="L139" s="11" t="s">
        <v>61</v>
      </c>
      <c r="M139" s="11" t="s">
        <v>437</v>
      </c>
      <c r="N139" s="18" t="s">
        <v>195</v>
      </c>
      <c r="O139" s="19" t="s">
        <v>195</v>
      </c>
      <c r="P139" s="19" t="s">
        <v>685</v>
      </c>
      <c r="Q139" s="19">
        <v>28411</v>
      </c>
      <c r="R139" s="18" t="s">
        <v>41</v>
      </c>
      <c r="S139" s="18" t="s">
        <v>1114</v>
      </c>
      <c r="T139" s="21" t="str">
        <f>VLOOKUP(C139,'[1]TABEL SMA'!$C$8:$D$343,2,0)</f>
        <v>SMA N 1 BANGKINANG KOTA</v>
      </c>
      <c r="U139" s="22" t="str">
        <f>IFERROR(VLOOKUP(Table11[[#This Row],[Nama]],'[1]TABEL BEASISWA'!$B$4:$D$202,2,FALSE),"TIDAK")</f>
        <v>TIDAK</v>
      </c>
      <c r="V139" s="23" t="str">
        <f>IFERROR(VLOOKUP(Table11[[#This Row],[Nama]],'[1]TABEL BEASISWA'!$B$4:$D$202,3,FALSE),"Tidak ada")</f>
        <v>Tidak ada</v>
      </c>
      <c r="W139" s="24" t="str">
        <f>IFERROR(VLOOKUP(Table11[[#This Row],[Nama]],'[1]TABEL BEASISWA'!$B$4:$E$202,4,FALSE)," ")</f>
        <v xml:space="preserve"> </v>
      </c>
      <c r="X139" s="25"/>
      <c r="Y139" s="25"/>
      <c r="Z139" s="26"/>
      <c r="AA139" s="25"/>
      <c r="AB139" s="25"/>
      <c r="AC139" s="130">
        <v>1001001</v>
      </c>
      <c r="AD139" s="130">
        <v>140101</v>
      </c>
      <c r="AE139" s="130">
        <v>1401011011</v>
      </c>
      <c r="AF139" s="130" t="s">
        <v>2349</v>
      </c>
    </row>
    <row r="140" spans="1:32" ht="28">
      <c r="A140" s="10">
        <f t="shared" si="2"/>
        <v>139</v>
      </c>
      <c r="B140" s="56">
        <v>2230124141</v>
      </c>
      <c r="C140" s="58" t="s">
        <v>1115</v>
      </c>
      <c r="D140" s="57" t="s">
        <v>1116</v>
      </c>
      <c r="E140" s="11" t="s">
        <v>1117</v>
      </c>
      <c r="F140" s="19" t="s">
        <v>67</v>
      </c>
      <c r="G140" s="27" t="s">
        <v>1118</v>
      </c>
      <c r="H140" s="12" t="s">
        <v>454</v>
      </c>
      <c r="I140" s="133">
        <v>38510</v>
      </c>
      <c r="J140" s="19" t="s">
        <v>35</v>
      </c>
      <c r="K140" s="17" t="s">
        <v>1119</v>
      </c>
      <c r="L140" s="11" t="s">
        <v>50</v>
      </c>
      <c r="M140" s="11" t="s">
        <v>489</v>
      </c>
      <c r="N140" s="18" t="s">
        <v>1120</v>
      </c>
      <c r="O140" s="19" t="s">
        <v>1120</v>
      </c>
      <c r="P140" s="19" t="s">
        <v>1121</v>
      </c>
      <c r="Q140" s="19">
        <v>17144</v>
      </c>
      <c r="R140" s="18" t="s">
        <v>41</v>
      </c>
      <c r="S140" s="18" t="s">
        <v>52</v>
      </c>
      <c r="T140" s="21" t="str">
        <f>VLOOKUP(C140,'[1]TABEL SMA'!$C$8:$D$343,2,0)</f>
        <v>MA. AS-SYAFI'IYAH 04 KOTA BEKASI</v>
      </c>
      <c r="U140" s="22" t="str">
        <f>IFERROR(VLOOKUP(Table11[[#This Row],[Nama]],'[1]TABEL BEASISWA'!$B$4:$D$202,2,FALSE),"TIDAK")</f>
        <v>TIDAK</v>
      </c>
      <c r="V140" s="23" t="str">
        <f>IFERROR(VLOOKUP(Table11[[#This Row],[Nama]],'[1]TABEL BEASISWA'!$B$4:$D$202,3,FALSE),"Tidak ada")</f>
        <v>Tidak ada</v>
      </c>
      <c r="W140" s="24" t="str">
        <f>IFERROR(VLOOKUP(Table11[[#This Row],[Nama]],'[1]TABEL BEASISWA'!$B$4:$E$202,4,FALSE)," ")</f>
        <v xml:space="preserve"> </v>
      </c>
      <c r="X140" s="25"/>
      <c r="Y140" s="25"/>
      <c r="Z140" s="26"/>
      <c r="AA140" s="25"/>
      <c r="AB140" s="25"/>
      <c r="AC140" s="130">
        <v>1001001</v>
      </c>
      <c r="AD140" s="130">
        <v>327504</v>
      </c>
      <c r="AE140" s="130">
        <v>3275041005</v>
      </c>
      <c r="AF140" s="130" t="s">
        <v>2346</v>
      </c>
    </row>
    <row r="141" spans="1:32" ht="28">
      <c r="A141" s="10">
        <f t="shared" si="2"/>
        <v>140</v>
      </c>
      <c r="B141" s="56">
        <v>2230124142</v>
      </c>
      <c r="C141" s="58" t="s">
        <v>1122</v>
      </c>
      <c r="D141" s="57" t="s">
        <v>1123</v>
      </c>
      <c r="E141" s="19">
        <v>9984650160</v>
      </c>
      <c r="F141" s="19" t="s">
        <v>67</v>
      </c>
      <c r="G141" s="27" t="s">
        <v>1124</v>
      </c>
      <c r="H141" s="12" t="s">
        <v>203</v>
      </c>
      <c r="I141" s="133">
        <v>35895</v>
      </c>
      <c r="J141" s="19" t="s">
        <v>35</v>
      </c>
      <c r="K141" s="17" t="s">
        <v>1125</v>
      </c>
      <c r="L141" s="11" t="s">
        <v>437</v>
      </c>
      <c r="M141" s="11" t="s">
        <v>169</v>
      </c>
      <c r="N141" s="18" t="s">
        <v>1126</v>
      </c>
      <c r="O141" s="19" t="s">
        <v>1126</v>
      </c>
      <c r="P141" s="19" t="s">
        <v>1127</v>
      </c>
      <c r="Q141" s="19">
        <v>17330</v>
      </c>
      <c r="R141" s="18" t="s">
        <v>41</v>
      </c>
      <c r="S141" s="18" t="s">
        <v>365</v>
      </c>
      <c r="T141" s="21" t="str">
        <f>VLOOKUP(C141,'[1]TABEL SMA'!$C$8:$D$343,2,0)</f>
        <v>MAS IQRA’ BARUNG - BARUNG BALANTAI</v>
      </c>
      <c r="U141" s="22" t="str">
        <f>IFERROR(VLOOKUP(Table11[[#This Row],[Nama]],'[1]TABEL BEASISWA'!$B$4:$D$202,2,FALSE),"TIDAK")</f>
        <v>TIDAK</v>
      </c>
      <c r="V141" s="23" t="str">
        <f>IFERROR(VLOOKUP(Table11[[#This Row],[Nama]],'[1]TABEL BEASISWA'!$B$4:$D$202,3,FALSE),"Tidak ada")</f>
        <v>Tidak ada</v>
      </c>
      <c r="W141" s="24" t="str">
        <f>IFERROR(VLOOKUP(Table11[[#This Row],[Nama]],'[1]TABEL BEASISWA'!$B$4:$E$202,4,FALSE)," ")</f>
        <v xml:space="preserve"> </v>
      </c>
      <c r="X141" s="25"/>
      <c r="Y141" s="25"/>
      <c r="Z141" s="26"/>
      <c r="AA141" s="25"/>
      <c r="AB141" s="25"/>
      <c r="AC141" s="130">
        <v>1001001</v>
      </c>
      <c r="AD141" s="130">
        <v>321621</v>
      </c>
      <c r="AE141" s="130">
        <v>3216212004</v>
      </c>
      <c r="AF141" s="130" t="s">
        <v>2347</v>
      </c>
    </row>
    <row r="142" spans="1:32">
      <c r="A142" s="10">
        <f t="shared" si="2"/>
        <v>141</v>
      </c>
      <c r="B142" s="56">
        <v>2230124143</v>
      </c>
      <c r="C142" s="58" t="s">
        <v>1128</v>
      </c>
      <c r="D142" s="57" t="s">
        <v>1129</v>
      </c>
      <c r="E142" s="11" t="s">
        <v>1130</v>
      </c>
      <c r="F142" s="19" t="s">
        <v>32</v>
      </c>
      <c r="G142" s="27" t="s">
        <v>1131</v>
      </c>
      <c r="H142" s="12" t="s">
        <v>294</v>
      </c>
      <c r="I142" s="133">
        <v>38160</v>
      </c>
      <c r="J142" s="19" t="s">
        <v>35</v>
      </c>
      <c r="K142" s="17" t="s">
        <v>1132</v>
      </c>
      <c r="L142" s="11" t="s">
        <v>79</v>
      </c>
      <c r="M142" s="11" t="s">
        <v>143</v>
      </c>
      <c r="N142" s="18" t="s">
        <v>1133</v>
      </c>
      <c r="O142" s="19" t="s">
        <v>1133</v>
      </c>
      <c r="P142" s="19" t="s">
        <v>1134</v>
      </c>
      <c r="Q142" s="19">
        <v>15720</v>
      </c>
      <c r="R142" s="18" t="s">
        <v>41</v>
      </c>
      <c r="S142" s="18" t="s">
        <v>52</v>
      </c>
      <c r="T142" s="21" t="str">
        <f>VLOOKUP(C142,'[1]TABEL SMA'!$C$8:$D$343,2,0)</f>
        <v>SMA CITRA BERKAT</v>
      </c>
      <c r="U142" s="22" t="str">
        <f>IFERROR(VLOOKUP(Table11[[#This Row],[Nama]],'[1]TABEL BEASISWA'!$B$4:$D$202,2,FALSE),"TIDAK")</f>
        <v>TIDAK</v>
      </c>
      <c r="V142" s="23" t="str">
        <f>IFERROR(VLOOKUP(Table11[[#This Row],[Nama]],'[1]TABEL BEASISWA'!$B$4:$D$202,3,FALSE),"Tidak ada")</f>
        <v>Tidak ada</v>
      </c>
      <c r="W142" s="24" t="str">
        <f>IFERROR(VLOOKUP(Table11[[#This Row],[Nama]],'[1]TABEL BEASISWA'!$B$4:$E$202,4,FALSE)," ")</f>
        <v xml:space="preserve"> </v>
      </c>
      <c r="X142" s="25"/>
      <c r="Y142" s="25"/>
      <c r="Z142" s="26"/>
      <c r="AA142" s="25"/>
      <c r="AB142" s="25"/>
      <c r="AC142" s="130">
        <v>1001001</v>
      </c>
      <c r="AD142" s="130">
        <v>360303</v>
      </c>
      <c r="AE142" s="130">
        <v>3603032010</v>
      </c>
      <c r="AF142" s="130" t="s">
        <v>2346</v>
      </c>
    </row>
    <row r="143" spans="1:32" ht="42">
      <c r="A143" s="10">
        <f t="shared" si="2"/>
        <v>142</v>
      </c>
      <c r="B143" s="56">
        <v>2230124144</v>
      </c>
      <c r="C143" s="58" t="s">
        <v>1135</v>
      </c>
      <c r="D143" s="57" t="s">
        <v>1136</v>
      </c>
      <c r="E143" s="11" t="s">
        <v>1137</v>
      </c>
      <c r="F143" s="19" t="s">
        <v>67</v>
      </c>
      <c r="G143" s="27" t="s">
        <v>1138</v>
      </c>
      <c r="H143" s="12" t="s">
        <v>34</v>
      </c>
      <c r="I143" s="133">
        <v>38642</v>
      </c>
      <c r="J143" s="19" t="s">
        <v>35</v>
      </c>
      <c r="K143" s="17" t="s">
        <v>1139</v>
      </c>
      <c r="L143" s="11" t="s">
        <v>79</v>
      </c>
      <c r="M143" s="11" t="s">
        <v>79</v>
      </c>
      <c r="N143" s="18" t="s">
        <v>1140</v>
      </c>
      <c r="O143" s="19" t="s">
        <v>1140</v>
      </c>
      <c r="P143" s="19" t="s">
        <v>403</v>
      </c>
      <c r="Q143" s="44">
        <v>12740</v>
      </c>
      <c r="R143" s="18" t="s">
        <v>41</v>
      </c>
      <c r="S143" s="18" t="s">
        <v>52</v>
      </c>
      <c r="T143" s="21" t="str">
        <f>VLOOKUP(C143,'[1]TABEL SMA'!$C$8:$D$343,2,0)</f>
        <v>MAS MUALLIMIEN MUHAMMADIYAH JAKARTA</v>
      </c>
      <c r="U143" s="22" t="str">
        <f>IFERROR(VLOOKUP(Table11[[#This Row],[Nama]],'[1]TABEL BEASISWA'!$B$4:$D$202,2,FALSE),"TIDAK")</f>
        <v>TIDAK</v>
      </c>
      <c r="V143" s="23" t="str">
        <f>IFERROR(VLOOKUP(Table11[[#This Row],[Nama]],'[1]TABEL BEASISWA'!$B$4:$D$202,3,FALSE),"Tidak ada")</f>
        <v>Tidak ada</v>
      </c>
      <c r="W143" s="24" t="str">
        <f>IFERROR(VLOOKUP(Table11[[#This Row],[Nama]],'[1]TABEL BEASISWA'!$B$4:$E$202,4,FALSE)," ")</f>
        <v xml:space="preserve"> </v>
      </c>
      <c r="X143" s="25"/>
      <c r="Y143" s="25"/>
      <c r="Z143" s="26"/>
      <c r="AA143" s="25"/>
      <c r="AB143" s="25"/>
      <c r="AC143" s="130">
        <v>1001001</v>
      </c>
      <c r="AD143" s="130">
        <v>317408</v>
      </c>
      <c r="AE143" s="130">
        <v>3174081002</v>
      </c>
      <c r="AF143" s="130" t="s">
        <v>2346</v>
      </c>
    </row>
    <row r="144" spans="1:32" ht="28">
      <c r="A144" s="10">
        <f t="shared" si="2"/>
        <v>143</v>
      </c>
      <c r="B144" s="56">
        <v>2230124145</v>
      </c>
      <c r="C144" s="58" t="s">
        <v>1141</v>
      </c>
      <c r="D144" s="57" t="s">
        <v>1142</v>
      </c>
      <c r="E144" s="11" t="s">
        <v>1143</v>
      </c>
      <c r="F144" s="19" t="s">
        <v>67</v>
      </c>
      <c r="G144" s="27" t="s">
        <v>1144</v>
      </c>
      <c r="H144" s="12" t="s">
        <v>34</v>
      </c>
      <c r="I144" s="132">
        <v>38455</v>
      </c>
      <c r="J144" s="19" t="s">
        <v>35</v>
      </c>
      <c r="K144" s="17" t="s">
        <v>1145</v>
      </c>
      <c r="L144" s="11" t="s">
        <v>924</v>
      </c>
      <c r="M144" s="11" t="s">
        <v>50</v>
      </c>
      <c r="N144" s="18" t="s">
        <v>1146</v>
      </c>
      <c r="O144" s="19" t="s">
        <v>1146</v>
      </c>
      <c r="P144" s="19" t="s">
        <v>886</v>
      </c>
      <c r="Q144" s="19">
        <v>13940</v>
      </c>
      <c r="R144" s="18" t="s">
        <v>41</v>
      </c>
      <c r="S144" s="18" t="s">
        <v>52</v>
      </c>
      <c r="T144" s="21" t="str">
        <f>VLOOKUP(C144,'[1]TABEL SMA'!$C$8:$D$343,2,0)</f>
        <v>SMA NEGERI 12 JAKARTA</v>
      </c>
      <c r="U144" s="22" t="str">
        <f>IFERROR(VLOOKUP(Table11[[#This Row],[Nama]],'[1]TABEL BEASISWA'!$B$4:$D$202,2,FALSE),"TIDAK")</f>
        <v>YA</v>
      </c>
      <c r="V144" s="23" t="str">
        <f>IFERROR(VLOOKUP(Table11[[#This Row],[Nama]],'[1]TABEL BEASISWA'!$B$4:$D$202,3,FALSE),"Tidak ada")</f>
        <v>Beasiswa 50%, Berprestasi/Kurang Mampu</v>
      </c>
      <c r="W144" s="24" t="str">
        <f>IFERROR(VLOOKUP(Table11[[#This Row],[Nama]],'[1]TABEL BEASISWA'!$B$4:$E$202,4,FALSE)," ")</f>
        <v>Angkatan 4</v>
      </c>
      <c r="X144" s="25"/>
      <c r="Y144" s="25"/>
      <c r="Z144" s="26"/>
      <c r="AA144" s="25"/>
      <c r="AB144" s="25"/>
      <c r="AC144" s="130">
        <v>1001001</v>
      </c>
      <c r="AD144" s="130">
        <v>317506</v>
      </c>
      <c r="AE144" s="130">
        <v>3175061003</v>
      </c>
      <c r="AF144" s="130" t="s">
        <v>2346</v>
      </c>
    </row>
    <row r="145" spans="1:32">
      <c r="A145" s="10">
        <f t="shared" si="2"/>
        <v>144</v>
      </c>
      <c r="B145" s="56">
        <v>2230124146</v>
      </c>
      <c r="C145" s="58" t="s">
        <v>1147</v>
      </c>
      <c r="D145" s="57" t="s">
        <v>1148</v>
      </c>
      <c r="E145" s="11" t="s">
        <v>1149</v>
      </c>
      <c r="F145" s="19" t="s">
        <v>67</v>
      </c>
      <c r="G145" s="27" t="s">
        <v>1150</v>
      </c>
      <c r="H145" s="12" t="s">
        <v>34</v>
      </c>
      <c r="I145" s="133">
        <v>38397</v>
      </c>
      <c r="J145" s="19" t="s">
        <v>35</v>
      </c>
      <c r="K145" s="17" t="s">
        <v>1151</v>
      </c>
      <c r="L145" s="11" t="s">
        <v>572</v>
      </c>
      <c r="M145" s="11" t="s">
        <v>572</v>
      </c>
      <c r="N145" s="18" t="s">
        <v>1152</v>
      </c>
      <c r="O145" s="19" t="s">
        <v>1152</v>
      </c>
      <c r="P145" s="19" t="s">
        <v>145</v>
      </c>
      <c r="Q145" s="19">
        <v>12240</v>
      </c>
      <c r="R145" s="18" t="s">
        <v>41</v>
      </c>
      <c r="S145" s="18" t="s">
        <v>850</v>
      </c>
      <c r="T145" s="21" t="str">
        <f>VLOOKUP(C145,'[1]TABEL SMA'!$C$8:$D$343,2,0)</f>
        <v>SMAN 47 JAKARTA</v>
      </c>
      <c r="U145" s="22" t="str">
        <f>IFERROR(VLOOKUP(Table11[[#This Row],[Nama]],'[1]TABEL BEASISWA'!$B$4:$D$202,2,FALSE),"TIDAK")</f>
        <v>TIDAK</v>
      </c>
      <c r="V145" s="23" t="str">
        <f>IFERROR(VLOOKUP(Table11[[#This Row],[Nama]],'[1]TABEL BEASISWA'!$B$4:$D$202,3,FALSE),"Tidak ada")</f>
        <v>Tidak ada</v>
      </c>
      <c r="W145" s="24" t="str">
        <f>IFERROR(VLOOKUP(Table11[[#This Row],[Nama]],'[1]TABEL BEASISWA'!$B$4:$E$202,4,FALSE)," ")</f>
        <v xml:space="preserve"> </v>
      </c>
      <c r="X145" s="25"/>
      <c r="Y145" s="25"/>
      <c r="Z145" s="26"/>
      <c r="AA145" s="25"/>
      <c r="AB145" s="25"/>
      <c r="AC145" s="130">
        <v>1001001</v>
      </c>
      <c r="AD145" s="130">
        <v>317405</v>
      </c>
      <c r="AE145" s="130">
        <v>3174051001</v>
      </c>
      <c r="AF145" s="130" t="s">
        <v>2348</v>
      </c>
    </row>
    <row r="146" spans="1:32" ht="28">
      <c r="A146" s="10">
        <f t="shared" si="2"/>
        <v>145</v>
      </c>
      <c r="B146" s="56">
        <v>2230124147</v>
      </c>
      <c r="C146" s="58" t="s">
        <v>1153</v>
      </c>
      <c r="D146" s="57" t="s">
        <v>1154</v>
      </c>
      <c r="E146" s="11" t="s">
        <v>1155</v>
      </c>
      <c r="F146" s="19" t="s">
        <v>32</v>
      </c>
      <c r="G146" s="27" t="s">
        <v>1156</v>
      </c>
      <c r="H146" s="12" t="s">
        <v>409</v>
      </c>
      <c r="I146" s="133">
        <v>30703</v>
      </c>
      <c r="J146" s="19" t="s">
        <v>35</v>
      </c>
      <c r="K146" s="17" t="s">
        <v>1157</v>
      </c>
      <c r="L146" s="11" t="s">
        <v>79</v>
      </c>
      <c r="M146" s="11" t="s">
        <v>169</v>
      </c>
      <c r="N146" s="18" t="s">
        <v>1158</v>
      </c>
      <c r="O146" s="19" t="s">
        <v>1158</v>
      </c>
      <c r="P146" s="19" t="s">
        <v>1159</v>
      </c>
      <c r="Q146" s="19">
        <v>13120</v>
      </c>
      <c r="R146" s="18" t="s">
        <v>41</v>
      </c>
      <c r="S146" s="18" t="s">
        <v>458</v>
      </c>
      <c r="T146" s="21" t="str">
        <f>VLOOKUP(C146,'[1]TABEL SMA'!$C$8:$D$343,2,0)</f>
        <v>SMU NEGERI 2 DENPASAR</v>
      </c>
      <c r="U146" s="22" t="str">
        <f>IFERROR(VLOOKUP(Table11[[#This Row],[Nama]],'[1]TABEL BEASISWA'!$B$4:$D$202,2,FALSE),"TIDAK")</f>
        <v>TIDAK</v>
      </c>
      <c r="V146" s="23" t="str">
        <f>IFERROR(VLOOKUP(Table11[[#This Row],[Nama]],'[1]TABEL BEASISWA'!$B$4:$D$202,3,FALSE),"Tidak ada")</f>
        <v>Tidak ada</v>
      </c>
      <c r="W146" s="24" t="str">
        <f>IFERROR(VLOOKUP(Table11[[#This Row],[Nama]],'[1]TABEL BEASISWA'!$B$4:$E$202,4,FALSE)," ")</f>
        <v xml:space="preserve"> </v>
      </c>
      <c r="X146" s="25"/>
      <c r="Y146" s="25"/>
      <c r="Z146" s="26"/>
      <c r="AA146" s="25"/>
      <c r="AB146" s="25"/>
      <c r="AC146" s="130">
        <v>1001001</v>
      </c>
      <c r="AD146" s="130">
        <v>317503</v>
      </c>
      <c r="AE146" s="130"/>
      <c r="AF146" s="130" t="s">
        <v>2348</v>
      </c>
    </row>
    <row r="147" spans="1:32" ht="28">
      <c r="A147" s="10">
        <f t="shared" si="2"/>
        <v>146</v>
      </c>
      <c r="B147" s="56">
        <v>2230124148</v>
      </c>
      <c r="C147" s="58" t="s">
        <v>1160</v>
      </c>
      <c r="D147" s="57" t="s">
        <v>1161</v>
      </c>
      <c r="E147" s="11" t="s">
        <v>1162</v>
      </c>
      <c r="F147" s="19" t="s">
        <v>67</v>
      </c>
      <c r="G147" s="27" t="s">
        <v>1163</v>
      </c>
      <c r="H147" s="12" t="s">
        <v>1164</v>
      </c>
      <c r="I147" s="133">
        <v>39057</v>
      </c>
      <c r="J147" s="19" t="s">
        <v>35</v>
      </c>
      <c r="K147" s="17" t="s">
        <v>1165</v>
      </c>
      <c r="L147" s="11" t="s">
        <v>1166</v>
      </c>
      <c r="M147" s="11" t="s">
        <v>1167</v>
      </c>
      <c r="N147" s="18" t="s">
        <v>490</v>
      </c>
      <c r="O147" s="19" t="s">
        <v>490</v>
      </c>
      <c r="P147" s="19" t="s">
        <v>491</v>
      </c>
      <c r="Q147" s="19">
        <v>30154</v>
      </c>
      <c r="R147" s="18" t="s">
        <v>41</v>
      </c>
      <c r="S147" s="18" t="s">
        <v>365</v>
      </c>
      <c r="T147" s="21" t="str">
        <f>VLOOKUP(C147,'[1]TABEL SMA'!$C$8:$D$343,2,0)</f>
        <v>SMA NEGERI 03 PALEMBANG</v>
      </c>
      <c r="U147" s="22" t="str">
        <f>IFERROR(VLOOKUP(Table11[[#This Row],[Nama]],'[1]TABEL BEASISWA'!$B$4:$D$202,2,FALSE),"TIDAK")</f>
        <v>YA</v>
      </c>
      <c r="V147" s="23" t="str">
        <f>IFERROR(VLOOKUP(Table11[[#This Row],[Nama]],'[1]TABEL BEASISWA'!$B$4:$D$202,3,FALSE),"Tidak ada")</f>
        <v>Beasiswa 50%, Berprestasi/Kurang Mampu</v>
      </c>
      <c r="W147" s="24" t="str">
        <f>IFERROR(VLOOKUP(Table11[[#This Row],[Nama]],'[1]TABEL BEASISWA'!$B$4:$E$202,4,FALSE)," ")</f>
        <v>Angkatan 4</v>
      </c>
      <c r="X147" s="25"/>
      <c r="Y147" s="25"/>
      <c r="Z147" s="26"/>
      <c r="AA147" s="25"/>
      <c r="AB147" s="25"/>
      <c r="AC147" s="130">
        <v>1001001</v>
      </c>
      <c r="AD147" s="130"/>
      <c r="AE147" s="130"/>
      <c r="AF147" s="130" t="s">
        <v>2347</v>
      </c>
    </row>
    <row r="148" spans="1:32" ht="28">
      <c r="A148" s="10">
        <f t="shared" si="2"/>
        <v>147</v>
      </c>
      <c r="B148" s="56">
        <v>2230124149</v>
      </c>
      <c r="C148" s="58" t="s">
        <v>1168</v>
      </c>
      <c r="D148" s="57" t="s">
        <v>1169</v>
      </c>
      <c r="E148" s="11" t="s">
        <v>1170</v>
      </c>
      <c r="F148" s="19" t="s">
        <v>67</v>
      </c>
      <c r="G148" s="27" t="s">
        <v>1171</v>
      </c>
      <c r="H148" s="12" t="s">
        <v>34</v>
      </c>
      <c r="I148" s="133">
        <v>38414</v>
      </c>
      <c r="J148" s="19" t="s">
        <v>35</v>
      </c>
      <c r="K148" s="17" t="s">
        <v>1172</v>
      </c>
      <c r="L148" s="11" t="s">
        <v>50</v>
      </c>
      <c r="M148" s="11" t="s">
        <v>60</v>
      </c>
      <c r="N148" s="18" t="s">
        <v>1173</v>
      </c>
      <c r="O148" s="19" t="s">
        <v>1173</v>
      </c>
      <c r="P148" s="19" t="s">
        <v>1011</v>
      </c>
      <c r="Q148" s="19">
        <v>12630</v>
      </c>
      <c r="R148" s="18" t="s">
        <v>41</v>
      </c>
      <c r="S148" s="18" t="s">
        <v>850</v>
      </c>
      <c r="T148" s="21" t="str">
        <f>VLOOKUP(C148,'[1]TABEL SMA'!$C$8:$D$343,2,0)</f>
        <v>SMAN 11 DEPOK</v>
      </c>
      <c r="U148" s="22" t="str">
        <f>IFERROR(VLOOKUP(Table11[[#This Row],[Nama]],'[1]TABEL BEASISWA'!$B$4:$D$202,2,FALSE),"TIDAK")</f>
        <v>YA</v>
      </c>
      <c r="V148" s="23" t="str">
        <f>IFERROR(VLOOKUP(Table11[[#This Row],[Nama]],'[1]TABEL BEASISWA'!$B$4:$D$202,3,FALSE),"Tidak ada")</f>
        <v>Beasiswa 50%, Berprestasi/Kurang Mampu</v>
      </c>
      <c r="W148" s="24" t="str">
        <f>IFERROR(VLOOKUP(Table11[[#This Row],[Nama]],'[1]TABEL BEASISWA'!$B$4:$E$202,4,FALSE)," ")</f>
        <v>Angkatan 4</v>
      </c>
      <c r="X148" s="25"/>
      <c r="Y148" s="25"/>
      <c r="Z148" s="26"/>
      <c r="AA148" s="25"/>
      <c r="AB148" s="25"/>
      <c r="AC148" s="130">
        <v>1001001</v>
      </c>
      <c r="AD148" s="130">
        <v>317409</v>
      </c>
      <c r="AE148" s="130">
        <v>3174091003</v>
      </c>
      <c r="AF148" s="130" t="s">
        <v>2348</v>
      </c>
    </row>
    <row r="149" spans="1:32" ht="28">
      <c r="A149" s="10">
        <f t="shared" si="2"/>
        <v>148</v>
      </c>
      <c r="B149" s="56">
        <v>2230124150</v>
      </c>
      <c r="C149" s="58" t="s">
        <v>1174</v>
      </c>
      <c r="D149" s="57" t="s">
        <v>1175</v>
      </c>
      <c r="E149" s="11" t="s">
        <v>1176</v>
      </c>
      <c r="F149" s="19" t="s">
        <v>67</v>
      </c>
      <c r="G149" s="27" t="s">
        <v>1177</v>
      </c>
      <c r="H149" s="12" t="s">
        <v>1178</v>
      </c>
      <c r="I149" s="133">
        <v>38608</v>
      </c>
      <c r="J149" s="19" t="s">
        <v>35</v>
      </c>
      <c r="K149" s="17" t="s">
        <v>1179</v>
      </c>
      <c r="L149" s="11" t="s">
        <v>60</v>
      </c>
      <c r="M149" s="11" t="s">
        <v>1043</v>
      </c>
      <c r="N149" s="18" t="s">
        <v>1180</v>
      </c>
      <c r="O149" s="19" t="s">
        <v>1180</v>
      </c>
      <c r="P149" s="19" t="s">
        <v>1180</v>
      </c>
      <c r="Q149" s="19">
        <v>83663</v>
      </c>
      <c r="R149" s="18" t="s">
        <v>41</v>
      </c>
      <c r="S149" s="18" t="s">
        <v>365</v>
      </c>
      <c r="T149" s="21" t="str">
        <f>VLOOKUP(C149,'[1]TABEL SMA'!$C$8:$D$343,2,0)</f>
        <v>SMKN 1 SIKUR</v>
      </c>
      <c r="U149" s="22" t="str">
        <f>IFERROR(VLOOKUP(Table11[[#This Row],[Nama]],'[1]TABEL BEASISWA'!$B$4:$D$202,2,FALSE),"TIDAK")</f>
        <v>YA</v>
      </c>
      <c r="V149" s="23" t="str">
        <f>IFERROR(VLOOKUP(Table11[[#This Row],[Nama]],'[1]TABEL BEASISWA'!$B$4:$D$202,3,FALSE),"Tidak ada")</f>
        <v>Beasiswa 50%, Berprestasi/Kurang Mampu</v>
      </c>
      <c r="W149" s="24" t="str">
        <f>IFERROR(VLOOKUP(Table11[[#This Row],[Nama]],'[1]TABEL BEASISWA'!$B$4:$E$202,4,FALSE)," ")</f>
        <v>Angkatan 4</v>
      </c>
      <c r="X149" s="25"/>
      <c r="Y149" s="25"/>
      <c r="Z149" s="26"/>
      <c r="AA149" s="25"/>
      <c r="AB149" s="25"/>
      <c r="AC149" s="130">
        <v>1001001</v>
      </c>
      <c r="AD149" s="130">
        <v>520303</v>
      </c>
      <c r="AE149" s="130">
        <v>5203032005</v>
      </c>
      <c r="AF149" s="130" t="s">
        <v>2347</v>
      </c>
    </row>
    <row r="150" spans="1:32" ht="28">
      <c r="A150" s="10">
        <f t="shared" si="2"/>
        <v>149</v>
      </c>
      <c r="B150" s="56">
        <v>2230124151</v>
      </c>
      <c r="C150" s="58" t="s">
        <v>1181</v>
      </c>
      <c r="D150" s="57" t="s">
        <v>1182</v>
      </c>
      <c r="E150" s="11" t="s">
        <v>1183</v>
      </c>
      <c r="F150" s="19" t="s">
        <v>67</v>
      </c>
      <c r="G150" s="27" t="s">
        <v>1184</v>
      </c>
      <c r="H150" s="12" t="s">
        <v>454</v>
      </c>
      <c r="I150" s="133">
        <v>38760</v>
      </c>
      <c r="J150" s="19" t="s">
        <v>35</v>
      </c>
      <c r="K150" s="17" t="s">
        <v>1185</v>
      </c>
      <c r="L150" s="11" t="s">
        <v>79</v>
      </c>
      <c r="M150" s="11" t="s">
        <v>917</v>
      </c>
      <c r="N150" s="18" t="s">
        <v>1120</v>
      </c>
      <c r="O150" s="19" t="s">
        <v>1120</v>
      </c>
      <c r="P150" s="19" t="s">
        <v>1121</v>
      </c>
      <c r="Q150" s="19">
        <v>17144</v>
      </c>
      <c r="R150" s="18" t="s">
        <v>41</v>
      </c>
      <c r="S150" s="18" t="s">
        <v>52</v>
      </c>
      <c r="T150" s="21" t="str">
        <f>VLOOKUP(C150,'[1]TABEL SMA'!$C$8:$D$343,2,0)</f>
        <v>SMA NEGERI 2 KOTA BEKASI</v>
      </c>
      <c r="U150" s="22" t="str">
        <f>IFERROR(VLOOKUP(Table11[[#This Row],[Nama]],'[1]TABEL BEASISWA'!$B$4:$D$202,2,FALSE),"TIDAK")</f>
        <v>YA</v>
      </c>
      <c r="V150" s="23" t="str">
        <f>IFERROR(VLOOKUP(Table11[[#This Row],[Nama]],'[1]TABEL BEASISWA'!$B$4:$D$202,3,FALSE),"Tidak ada")</f>
        <v>Beasiswa 50%, Berprestasi/Kurang Mampu</v>
      </c>
      <c r="W150" s="24" t="str">
        <f>IFERROR(VLOOKUP(Table11[[#This Row],[Nama]],'[1]TABEL BEASISWA'!$B$4:$E$202,4,FALSE)," ")</f>
        <v>Angkatan 4</v>
      </c>
      <c r="X150" s="25"/>
      <c r="Y150" s="25"/>
      <c r="Z150" s="26"/>
      <c r="AA150" s="25"/>
      <c r="AB150" s="25"/>
      <c r="AC150" s="130">
        <v>1001001</v>
      </c>
      <c r="AD150" s="130">
        <v>327504</v>
      </c>
      <c r="AE150" s="130">
        <v>3275041005</v>
      </c>
      <c r="AF150" s="130" t="s">
        <v>2346</v>
      </c>
    </row>
    <row r="151" spans="1:32" ht="28">
      <c r="A151" s="10">
        <f t="shared" si="2"/>
        <v>150</v>
      </c>
      <c r="B151" s="56">
        <v>2230124152</v>
      </c>
      <c r="C151" s="58" t="s">
        <v>1186</v>
      </c>
      <c r="D151" s="57" t="s">
        <v>1187</v>
      </c>
      <c r="E151" s="11" t="s">
        <v>1188</v>
      </c>
      <c r="F151" s="19" t="s">
        <v>32</v>
      </c>
      <c r="G151" s="27" t="s">
        <v>1189</v>
      </c>
      <c r="H151" s="12" t="s">
        <v>34</v>
      </c>
      <c r="I151" s="133">
        <v>38787</v>
      </c>
      <c r="J151" s="19" t="s">
        <v>1190</v>
      </c>
      <c r="K151" s="17" t="s">
        <v>1191</v>
      </c>
      <c r="L151" s="11" t="s">
        <v>61</v>
      </c>
      <c r="M151" s="11" t="s">
        <v>489</v>
      </c>
      <c r="N151" s="18" t="s">
        <v>1192</v>
      </c>
      <c r="O151" s="19" t="s">
        <v>1192</v>
      </c>
      <c r="P151" s="19" t="s">
        <v>1193</v>
      </c>
      <c r="Q151" s="19">
        <v>11730</v>
      </c>
      <c r="R151" s="18" t="s">
        <v>41</v>
      </c>
      <c r="S151" s="18" t="s">
        <v>365</v>
      </c>
      <c r="T151" s="21" t="str">
        <f>VLOOKUP(C151,'[1]TABEL SMA'!$C$8:$D$343,2,0)</f>
        <v>BINA BANGSA SCHOOL PIK</v>
      </c>
      <c r="U151" s="22" t="str">
        <f>IFERROR(VLOOKUP(Table11[[#This Row],[Nama]],'[1]TABEL BEASISWA'!$B$4:$D$202,2,FALSE),"TIDAK")</f>
        <v>YA</v>
      </c>
      <c r="V151" s="23" t="str">
        <f>IFERROR(VLOOKUP(Table11[[#This Row],[Nama]],'[1]TABEL BEASISWA'!$B$4:$D$202,3,FALSE),"Tidak ada")</f>
        <v>Beasiswa 20%, Berprestasi/Kurang Mampu</v>
      </c>
      <c r="W151" s="24" t="str">
        <f>IFERROR(VLOOKUP(Table11[[#This Row],[Nama]],'[1]TABEL BEASISWA'!$B$4:$E$202,4,FALSE)," ")</f>
        <v>Angkatan 4</v>
      </c>
      <c r="X151" s="25"/>
      <c r="Y151" s="25"/>
      <c r="Z151" s="26"/>
      <c r="AA151" s="25"/>
      <c r="AB151" s="25"/>
      <c r="AC151" s="130">
        <v>1001004</v>
      </c>
      <c r="AD151" s="130">
        <v>317301</v>
      </c>
      <c r="AE151" s="130">
        <v>3173011006</v>
      </c>
      <c r="AF151" s="130" t="s">
        <v>2347</v>
      </c>
    </row>
    <row r="152" spans="1:32" ht="42">
      <c r="A152" s="10">
        <f t="shared" si="2"/>
        <v>151</v>
      </c>
      <c r="B152" s="56">
        <v>2230124154</v>
      </c>
      <c r="C152" s="58" t="s">
        <v>1194</v>
      </c>
      <c r="D152" s="57" t="s">
        <v>1195</v>
      </c>
      <c r="E152" s="19">
        <v>3041839833</v>
      </c>
      <c r="F152" s="19" t="s">
        <v>32</v>
      </c>
      <c r="G152" s="27" t="s">
        <v>1196</v>
      </c>
      <c r="H152" s="12" t="s">
        <v>745</v>
      </c>
      <c r="I152" s="132">
        <v>38024</v>
      </c>
      <c r="J152" s="19" t="s">
        <v>35</v>
      </c>
      <c r="K152" s="17" t="s">
        <v>1197</v>
      </c>
      <c r="L152" s="11" t="s">
        <v>1167</v>
      </c>
      <c r="M152" s="11" t="s">
        <v>480</v>
      </c>
      <c r="N152" s="18" t="s">
        <v>1198</v>
      </c>
      <c r="O152" s="19" t="s">
        <v>1198</v>
      </c>
      <c r="P152" s="19" t="s">
        <v>1193</v>
      </c>
      <c r="Q152" s="19">
        <v>11730</v>
      </c>
      <c r="R152" s="18" t="s">
        <v>41</v>
      </c>
      <c r="S152" s="18" t="s">
        <v>52</v>
      </c>
      <c r="T152" s="21" t="str">
        <f>VLOOKUP(C152,'[1]TABEL SMA'!$C$8:$D$343,2,0)</f>
        <v>PONDOK PESANTREN AL-ITQON</v>
      </c>
      <c r="U152" s="22" t="str">
        <f>IFERROR(VLOOKUP(Table11[[#This Row],[Nama]],'[1]TABEL BEASISWA'!$B$4:$D$202,2,FALSE),"TIDAK")</f>
        <v>YA</v>
      </c>
      <c r="V152" s="23" t="str">
        <f>IFERROR(VLOOKUP(Table11[[#This Row],[Nama]],'[1]TABEL BEASISWA'!$B$4:$D$202,3,FALSE),"Tidak ada")</f>
        <v>Beasiswa 50%, Berprestasi/Kurang Mampu</v>
      </c>
      <c r="W152" s="24" t="str">
        <f>IFERROR(VLOOKUP(Table11[[#This Row],[Nama]],'[1]TABEL BEASISWA'!$B$4:$E$202,4,FALSE)," ")</f>
        <v>Angkatan 4</v>
      </c>
      <c r="X152" s="25"/>
      <c r="Y152" s="25"/>
      <c r="Z152" s="26"/>
      <c r="AA152" s="25"/>
      <c r="AB152" s="25"/>
      <c r="AC152" s="130">
        <v>1001001</v>
      </c>
      <c r="AD152" s="130">
        <v>317301</v>
      </c>
      <c r="AE152" s="130">
        <v>3173011001</v>
      </c>
      <c r="AF152" s="130" t="s">
        <v>2346</v>
      </c>
    </row>
    <row r="153" spans="1:32" ht="28">
      <c r="A153" s="10">
        <f t="shared" si="2"/>
        <v>152</v>
      </c>
      <c r="B153" s="56">
        <v>2230124155</v>
      </c>
      <c r="C153" s="58" t="s">
        <v>1199</v>
      </c>
      <c r="D153" s="57" t="s">
        <v>1200</v>
      </c>
      <c r="E153" s="11" t="s">
        <v>1201</v>
      </c>
      <c r="F153" s="19" t="s">
        <v>67</v>
      </c>
      <c r="G153" s="27" t="s">
        <v>1202</v>
      </c>
      <c r="H153" s="12" t="s">
        <v>1203</v>
      </c>
      <c r="I153" s="133">
        <v>38382</v>
      </c>
      <c r="J153" s="19" t="s">
        <v>35</v>
      </c>
      <c r="K153" s="17" t="s">
        <v>1204</v>
      </c>
      <c r="L153" s="11" t="s">
        <v>50</v>
      </c>
      <c r="M153" s="11" t="s">
        <v>143</v>
      </c>
      <c r="N153" s="18" t="s">
        <v>941</v>
      </c>
      <c r="O153" s="19" t="s">
        <v>941</v>
      </c>
      <c r="P153" s="19" t="s">
        <v>941</v>
      </c>
      <c r="Q153" s="19">
        <v>14310</v>
      </c>
      <c r="R153" s="18" t="s">
        <v>41</v>
      </c>
      <c r="S153" s="18" t="s">
        <v>52</v>
      </c>
      <c r="T153" s="21" t="str">
        <f>VLOOKUP(C153,'[1]TABEL SMA'!$C$8:$D$343,2,0)</f>
        <v>SMAN 18 JAKARTA UTARA</v>
      </c>
      <c r="U153" s="22" t="str">
        <f>IFERROR(VLOOKUP(Table11[[#This Row],[Nama]],'[1]TABEL BEASISWA'!$B$4:$D$202,2,FALSE),"TIDAK")</f>
        <v>YA</v>
      </c>
      <c r="V153" s="23" t="str">
        <f>IFERROR(VLOOKUP(Table11[[#This Row],[Nama]],'[1]TABEL BEASISWA'!$B$4:$D$202,3,FALSE),"Tidak ada")</f>
        <v>Beasiswa 50%, Berprestasi/Kurang Mampu</v>
      </c>
      <c r="W153" s="24" t="str">
        <f>IFERROR(VLOOKUP(Table11[[#This Row],[Nama]],'[1]TABEL BEASISWA'!$B$4:$E$202,4,FALSE)," ")</f>
        <v>Angkatan 4</v>
      </c>
      <c r="X153" s="25"/>
      <c r="Y153" s="25"/>
      <c r="Z153" s="26"/>
      <c r="AA153" s="25"/>
      <c r="AB153" s="25"/>
      <c r="AC153" s="130">
        <v>1001001</v>
      </c>
      <c r="AD153" s="130">
        <v>317202</v>
      </c>
      <c r="AE153" s="130">
        <v>3172021001</v>
      </c>
      <c r="AF153" s="130" t="s">
        <v>2346</v>
      </c>
    </row>
    <row r="154" spans="1:32" ht="28">
      <c r="A154" s="10">
        <f t="shared" si="2"/>
        <v>153</v>
      </c>
      <c r="B154" s="56">
        <v>2230124156</v>
      </c>
      <c r="C154" s="58" t="s">
        <v>1205</v>
      </c>
      <c r="D154" s="57" t="s">
        <v>1206</v>
      </c>
      <c r="E154" s="11" t="s">
        <v>1207</v>
      </c>
      <c r="F154" s="19" t="s">
        <v>32</v>
      </c>
      <c r="G154" s="27" t="s">
        <v>1208</v>
      </c>
      <c r="H154" s="12" t="s">
        <v>1209</v>
      </c>
      <c r="I154" s="133">
        <v>36691</v>
      </c>
      <c r="J154" s="19" t="s">
        <v>35</v>
      </c>
      <c r="K154" s="17" t="s">
        <v>1210</v>
      </c>
      <c r="L154" s="11" t="s">
        <v>49</v>
      </c>
      <c r="M154" s="11" t="s">
        <v>1043</v>
      </c>
      <c r="N154" s="18" t="s">
        <v>1211</v>
      </c>
      <c r="O154" s="19" t="s">
        <v>1211</v>
      </c>
      <c r="P154" s="19" t="s">
        <v>1212</v>
      </c>
      <c r="Q154" s="19">
        <v>55782</v>
      </c>
      <c r="R154" s="18" t="s">
        <v>41</v>
      </c>
      <c r="S154" s="18" t="s">
        <v>263</v>
      </c>
      <c r="T154" s="21" t="str">
        <f>VLOOKUP(C154,'[1]TABEL SMA'!$C$8:$D$343,2,0)</f>
        <v>SMA NEGERI 1 PLERET</v>
      </c>
      <c r="U154" s="22" t="str">
        <f>IFERROR(VLOOKUP(Table11[[#This Row],[Nama]],'[1]TABEL BEASISWA'!$B$4:$D$202,2,FALSE),"TIDAK")</f>
        <v>YA</v>
      </c>
      <c r="V154" s="23" t="str">
        <f>IFERROR(VLOOKUP(Table11[[#This Row],[Nama]],'[1]TABEL BEASISWA'!$B$4:$D$202,3,FALSE),"Tidak ada")</f>
        <v>Beasiswa 50%, Berprestasi/Kurang Mampu</v>
      </c>
      <c r="W154" s="24" t="str">
        <f>IFERROR(VLOOKUP(Table11[[#This Row],[Nama]],'[1]TABEL BEASISWA'!$B$4:$E$202,4,FALSE)," ")</f>
        <v>Angkatan 4</v>
      </c>
      <c r="X154" s="25"/>
      <c r="Y154" s="25"/>
      <c r="Z154" s="26"/>
      <c r="AA154" s="25"/>
      <c r="AB154" s="25"/>
      <c r="AC154" s="130">
        <v>1001001</v>
      </c>
      <c r="AD154" s="130">
        <v>340210</v>
      </c>
      <c r="AE154" s="130">
        <v>3402102006</v>
      </c>
      <c r="AF154" s="130" t="s">
        <v>2346</v>
      </c>
    </row>
    <row r="155" spans="1:32" ht="28">
      <c r="A155" s="10">
        <f t="shared" si="2"/>
        <v>154</v>
      </c>
      <c r="B155" s="56">
        <v>2230124157</v>
      </c>
      <c r="C155" s="58" t="s">
        <v>1213</v>
      </c>
      <c r="D155" s="57" t="s">
        <v>1214</v>
      </c>
      <c r="E155" s="11" t="s">
        <v>1215</v>
      </c>
      <c r="F155" s="19" t="s">
        <v>32</v>
      </c>
      <c r="G155" s="27" t="s">
        <v>1216</v>
      </c>
      <c r="H155" s="12" t="s">
        <v>34</v>
      </c>
      <c r="I155" s="132">
        <v>39047</v>
      </c>
      <c r="J155" s="19" t="s">
        <v>35</v>
      </c>
      <c r="K155" s="17" t="s">
        <v>1217</v>
      </c>
      <c r="L155" s="11" t="s">
        <v>49</v>
      </c>
      <c r="M155" s="11" t="s">
        <v>489</v>
      </c>
      <c r="N155" s="18" t="s">
        <v>904</v>
      </c>
      <c r="O155" s="19" t="s">
        <v>904</v>
      </c>
      <c r="P155" s="19" t="s">
        <v>574</v>
      </c>
      <c r="Q155" s="19">
        <v>13720</v>
      </c>
      <c r="R155" s="18" t="s">
        <v>41</v>
      </c>
      <c r="S155" s="18" t="s">
        <v>52</v>
      </c>
      <c r="T155" s="21" t="str">
        <f>VLOOKUP(C155,'[1]TABEL SMA'!$C$8:$D$343,2,0)</f>
        <v>MAS DAARUL MUGHNI AL-MAALIKI</v>
      </c>
      <c r="U155" s="22" t="str">
        <f>IFERROR(VLOOKUP(Table11[[#This Row],[Nama]],'[1]TABEL BEASISWA'!$B$4:$D$202,2,FALSE),"TIDAK")</f>
        <v>YA</v>
      </c>
      <c r="V155" s="23" t="str">
        <f>IFERROR(VLOOKUP(Table11[[#This Row],[Nama]],'[1]TABEL BEASISWA'!$B$4:$D$202,3,FALSE),"Tidak ada")</f>
        <v>Beasiswa 50%, Berprestasi/Kurang Mampu</v>
      </c>
      <c r="W155" s="24" t="str">
        <f>IFERROR(VLOOKUP(Table11[[#This Row],[Nama]],'[1]TABEL BEASISWA'!$B$4:$E$202,4,FALSE)," ")</f>
        <v>Angkatan 4</v>
      </c>
      <c r="X155" s="25"/>
      <c r="Y155" s="25"/>
      <c r="Z155" s="26"/>
      <c r="AA155" s="25"/>
      <c r="AB155" s="25"/>
      <c r="AC155" s="130">
        <v>1001001</v>
      </c>
      <c r="AD155" s="130">
        <v>317509</v>
      </c>
      <c r="AE155" s="130">
        <v>3175091002</v>
      </c>
      <c r="AF155" s="130" t="s">
        <v>2346</v>
      </c>
    </row>
    <row r="156" spans="1:32" ht="28">
      <c r="A156" s="10">
        <f t="shared" si="2"/>
        <v>155</v>
      </c>
      <c r="B156" s="56">
        <v>2230124158</v>
      </c>
      <c r="C156" s="58" t="s">
        <v>1218</v>
      </c>
      <c r="D156" s="57" t="s">
        <v>1219</v>
      </c>
      <c r="E156" s="11" t="s">
        <v>1220</v>
      </c>
      <c r="F156" s="19" t="s">
        <v>67</v>
      </c>
      <c r="G156" s="27" t="s">
        <v>1221</v>
      </c>
      <c r="H156" s="12" t="s">
        <v>1222</v>
      </c>
      <c r="I156" s="132">
        <v>38780</v>
      </c>
      <c r="J156" s="19" t="s">
        <v>97</v>
      </c>
      <c r="K156" s="17" t="s">
        <v>1223</v>
      </c>
      <c r="L156" s="11" t="s">
        <v>1224</v>
      </c>
      <c r="M156" s="11" t="s">
        <v>1043</v>
      </c>
      <c r="N156" s="18" t="s">
        <v>1225</v>
      </c>
      <c r="O156" s="19" t="s">
        <v>1225</v>
      </c>
      <c r="P156" s="19" t="s">
        <v>1226</v>
      </c>
      <c r="Q156" s="19">
        <v>36124</v>
      </c>
      <c r="R156" s="18" t="s">
        <v>41</v>
      </c>
      <c r="S156" s="18" t="s">
        <v>52</v>
      </c>
      <c r="T156" s="21" t="str">
        <f>VLOOKUP(C156,'[1]TABEL SMA'!$C$8:$D$343,2,0)</f>
        <v>SMAN TARUNA NALA JATIM</v>
      </c>
      <c r="U156" s="22" t="str">
        <f>IFERROR(VLOOKUP(Table11[[#This Row],[Nama]],'[1]TABEL BEASISWA'!$B$4:$D$202,2,FALSE),"TIDAK")</f>
        <v>YA</v>
      </c>
      <c r="V156" s="23" t="str">
        <f>IFERROR(VLOOKUP(Table11[[#This Row],[Nama]],'[1]TABEL BEASISWA'!$B$4:$D$202,3,FALSE),"Tidak ada")</f>
        <v>Beasiswa 50%, Berprestasi/Kurang Mampu</v>
      </c>
      <c r="W156" s="24" t="str">
        <f>IFERROR(VLOOKUP(Table11[[#This Row],[Nama]],'[1]TABEL BEASISWA'!$B$4:$E$202,4,FALSE)," ")</f>
        <v>Angkatan 4</v>
      </c>
      <c r="X156" s="25"/>
      <c r="Y156" s="25"/>
      <c r="Z156" s="26"/>
      <c r="AA156" s="25"/>
      <c r="AB156" s="25"/>
      <c r="AC156" s="130">
        <v>1001002</v>
      </c>
      <c r="AD156" s="130">
        <v>157109</v>
      </c>
      <c r="AE156" s="130">
        <v>1571091001</v>
      </c>
      <c r="AF156" s="130" t="s">
        <v>2346</v>
      </c>
    </row>
    <row r="157" spans="1:32" ht="28">
      <c r="A157" s="10">
        <f t="shared" si="2"/>
        <v>156</v>
      </c>
      <c r="B157" s="56">
        <v>2230124159</v>
      </c>
      <c r="C157" s="58" t="s">
        <v>1227</v>
      </c>
      <c r="D157" s="57" t="s">
        <v>1228</v>
      </c>
      <c r="E157" s="19">
        <v>14983</v>
      </c>
      <c r="F157" s="19" t="s">
        <v>32</v>
      </c>
      <c r="G157" s="27" t="s">
        <v>1229</v>
      </c>
      <c r="H157" s="12" t="s">
        <v>1178</v>
      </c>
      <c r="I157" s="132">
        <v>34700</v>
      </c>
      <c r="J157" s="19" t="s">
        <v>35</v>
      </c>
      <c r="K157" s="17" t="s">
        <v>1230</v>
      </c>
      <c r="L157" s="11" t="s">
        <v>347</v>
      </c>
      <c r="M157" s="11" t="s">
        <v>169</v>
      </c>
      <c r="N157" s="18" t="s">
        <v>1231</v>
      </c>
      <c r="O157" s="19" t="s">
        <v>1231</v>
      </c>
      <c r="P157" s="19" t="s">
        <v>1232</v>
      </c>
      <c r="Q157" s="19">
        <v>93118</v>
      </c>
      <c r="R157" s="18" t="s">
        <v>41</v>
      </c>
      <c r="S157" s="18" t="s">
        <v>263</v>
      </c>
      <c r="T157" s="21" t="str">
        <f>VLOOKUP(C157,'[1]TABEL SMA'!$C$8:$D$343,2,0)</f>
        <v xml:space="preserve">SMA NEGERI 4 KENDARI </v>
      </c>
      <c r="U157" s="22" t="str">
        <f>IFERROR(VLOOKUP(Table11[[#This Row],[Nama]],'[1]TABEL BEASISWA'!$B$4:$D$202,2,FALSE),"TIDAK")</f>
        <v>YA</v>
      </c>
      <c r="V157" s="23" t="str">
        <f>IFERROR(VLOOKUP(Table11[[#This Row],[Nama]],'[1]TABEL BEASISWA'!$B$4:$D$202,3,FALSE),"Tidak ada")</f>
        <v>Beasiswa 50%, Berprestasi/Kurang Mampu</v>
      </c>
      <c r="W157" s="24" t="str">
        <f>IFERROR(VLOOKUP(Table11[[#This Row],[Nama]],'[1]TABEL BEASISWA'!$B$4:$E$202,4,FALSE)," ")</f>
        <v>Angkatan 4</v>
      </c>
      <c r="X157" s="25"/>
      <c r="Y157" s="25"/>
      <c r="Z157" s="26"/>
      <c r="AA157" s="25"/>
      <c r="AB157" s="25"/>
      <c r="AC157" s="130">
        <v>1001001</v>
      </c>
      <c r="AD157" s="130"/>
      <c r="AE157" s="130"/>
      <c r="AF157" s="130" t="s">
        <v>2346</v>
      </c>
    </row>
    <row r="158" spans="1:32" ht="42">
      <c r="A158" s="10">
        <f t="shared" si="2"/>
        <v>157</v>
      </c>
      <c r="B158" s="56">
        <v>2230124160</v>
      </c>
      <c r="C158" s="58" t="s">
        <v>1233</v>
      </c>
      <c r="D158" s="57" t="s">
        <v>1234</v>
      </c>
      <c r="E158" s="11" t="s">
        <v>1235</v>
      </c>
      <c r="F158" s="19" t="s">
        <v>67</v>
      </c>
      <c r="G158" s="27" t="s">
        <v>1236</v>
      </c>
      <c r="H158" s="12" t="s">
        <v>1237</v>
      </c>
      <c r="I158" s="132">
        <v>38374</v>
      </c>
      <c r="J158" s="19" t="s">
        <v>35</v>
      </c>
      <c r="K158" s="17" t="s">
        <v>1238</v>
      </c>
      <c r="L158" s="11" t="s">
        <v>79</v>
      </c>
      <c r="M158" s="11" t="s">
        <v>169</v>
      </c>
      <c r="N158" s="18" t="s">
        <v>1239</v>
      </c>
      <c r="O158" s="19" t="s">
        <v>1239</v>
      </c>
      <c r="P158" s="19" t="s">
        <v>1240</v>
      </c>
      <c r="Q158" s="19">
        <v>63254</v>
      </c>
      <c r="R158" s="18" t="s">
        <v>41</v>
      </c>
      <c r="S158" s="18" t="s">
        <v>52</v>
      </c>
      <c r="T158" s="21" t="str">
        <f>VLOOKUP(C158,'[1]TABEL SMA'!$C$8:$D$343,2,0)</f>
        <v>SMK KESEHATAN BAKTI INDONESIA MEDIKA NGAWI</v>
      </c>
      <c r="U158" s="22" t="str">
        <f>IFERROR(VLOOKUP(Table11[[#This Row],[Nama]],'[1]TABEL BEASISWA'!$B$4:$D$202,2,FALSE),"TIDAK")</f>
        <v>YA</v>
      </c>
      <c r="V158" s="23" t="str">
        <f>IFERROR(VLOOKUP(Table11[[#This Row],[Nama]],'[1]TABEL BEASISWA'!$B$4:$D$202,3,FALSE),"Tidak ada")</f>
        <v>Beasiswa 50%, Berprestasi/Kurang Mampu</v>
      </c>
      <c r="W158" s="24" t="str">
        <f>IFERROR(VLOOKUP(Table11[[#This Row],[Nama]],'[1]TABEL BEASISWA'!$B$4:$E$202,4,FALSE)," ")</f>
        <v>Angkatan 4</v>
      </c>
      <c r="X158" s="25"/>
      <c r="Y158" s="25"/>
      <c r="Z158" s="26"/>
      <c r="AA158" s="25"/>
      <c r="AB158" s="25"/>
      <c r="AC158" s="130">
        <v>1001001</v>
      </c>
      <c r="AD158" s="130">
        <v>352111</v>
      </c>
      <c r="AE158" s="130">
        <v>3521112009</v>
      </c>
      <c r="AF158" s="130" t="s">
        <v>2346</v>
      </c>
    </row>
    <row r="159" spans="1:32" ht="28">
      <c r="A159" s="10">
        <f t="shared" si="2"/>
        <v>158</v>
      </c>
      <c r="B159" s="56">
        <v>2230124161</v>
      </c>
      <c r="C159" s="58" t="s">
        <v>1241</v>
      </c>
      <c r="D159" s="57" t="s">
        <v>1242</v>
      </c>
      <c r="E159" s="11" t="s">
        <v>1243</v>
      </c>
      <c r="F159" s="19" t="s">
        <v>32</v>
      </c>
      <c r="G159" s="27" t="s">
        <v>1244</v>
      </c>
      <c r="H159" s="12" t="s">
        <v>34</v>
      </c>
      <c r="I159" s="132">
        <v>36742</v>
      </c>
      <c r="J159" s="19" t="s">
        <v>35</v>
      </c>
      <c r="K159" s="17" t="s">
        <v>1245</v>
      </c>
      <c r="L159" s="11" t="s">
        <v>49</v>
      </c>
      <c r="M159" s="11" t="s">
        <v>79</v>
      </c>
      <c r="N159" s="18" t="s">
        <v>1246</v>
      </c>
      <c r="O159" s="19" t="s">
        <v>1246</v>
      </c>
      <c r="P159" s="19" t="s">
        <v>1247</v>
      </c>
      <c r="Q159" s="19">
        <v>16512</v>
      </c>
      <c r="R159" s="18" t="s">
        <v>41</v>
      </c>
      <c r="S159" s="18" t="s">
        <v>263</v>
      </c>
      <c r="T159" s="21" t="str">
        <f>VLOOKUP(C159,'[1]TABEL SMA'!$C$8:$D$343,2,0)</f>
        <v>SMKN 41 JAKARTA</v>
      </c>
      <c r="U159" s="22" t="str">
        <f>IFERROR(VLOOKUP(Table11[[#This Row],[Nama]],'[1]TABEL BEASISWA'!$B$4:$D$202,2,FALSE),"TIDAK")</f>
        <v>YA</v>
      </c>
      <c r="V159" s="23" t="str">
        <f>IFERROR(VLOOKUP(Table11[[#This Row],[Nama]],'[1]TABEL BEASISWA'!$B$4:$D$202,3,FALSE),"Tidak ada")</f>
        <v>Beasiswa 50%, Berprestasi/Kurang Mampu</v>
      </c>
      <c r="W159" s="24" t="str">
        <f>IFERROR(VLOOKUP(Table11[[#This Row],[Nama]],'[1]TABEL BEASISWA'!$B$4:$E$202,4,FALSE)," ")</f>
        <v>Angkatan 4</v>
      </c>
      <c r="X159" s="25"/>
      <c r="Y159" s="25"/>
      <c r="Z159" s="26"/>
      <c r="AA159" s="25"/>
      <c r="AB159" s="25"/>
      <c r="AC159" s="130">
        <v>1001001</v>
      </c>
      <c r="AD159" s="130">
        <v>327604</v>
      </c>
      <c r="AE159" s="130">
        <v>3276041003</v>
      </c>
      <c r="AF159" s="130" t="s">
        <v>2346</v>
      </c>
    </row>
    <row r="160" spans="1:32" ht="28">
      <c r="A160" s="10">
        <f t="shared" si="2"/>
        <v>159</v>
      </c>
      <c r="B160" s="56">
        <v>2230124162</v>
      </c>
      <c r="C160" s="58" t="s">
        <v>1248</v>
      </c>
      <c r="D160" s="57" t="s">
        <v>1249</v>
      </c>
      <c r="E160" s="11" t="s">
        <v>1250</v>
      </c>
      <c r="F160" s="19" t="s">
        <v>32</v>
      </c>
      <c r="G160" s="27" t="s">
        <v>1251</v>
      </c>
      <c r="H160" s="12" t="s">
        <v>34</v>
      </c>
      <c r="I160" s="132">
        <v>37549</v>
      </c>
      <c r="J160" s="19" t="s">
        <v>35</v>
      </c>
      <c r="K160" s="17" t="s">
        <v>1252</v>
      </c>
      <c r="L160" s="11" t="s">
        <v>50</v>
      </c>
      <c r="M160" s="11" t="s">
        <v>50</v>
      </c>
      <c r="N160" s="18" t="s">
        <v>1253</v>
      </c>
      <c r="O160" s="19" t="s">
        <v>1253</v>
      </c>
      <c r="P160" s="19" t="s">
        <v>439</v>
      </c>
      <c r="Q160" s="19">
        <v>12510</v>
      </c>
      <c r="R160" s="18" t="s">
        <v>41</v>
      </c>
      <c r="S160" s="18" t="s">
        <v>52</v>
      </c>
      <c r="T160" s="21" t="str">
        <f>VLOOKUP(C160,'[1]TABEL SMA'!$C$8:$D$343,2,0)</f>
        <v>SMK PASAR MINGGU</v>
      </c>
      <c r="U160" s="22" t="str">
        <f>IFERROR(VLOOKUP(Table11[[#This Row],[Nama]],'[1]TABEL BEASISWA'!$B$4:$D$202,2,FALSE),"TIDAK")</f>
        <v>YA</v>
      </c>
      <c r="V160" s="23" t="str">
        <f>IFERROR(VLOOKUP(Table11[[#This Row],[Nama]],'[1]TABEL BEASISWA'!$B$4:$D$202,3,FALSE),"Tidak ada")</f>
        <v>Beasiswa 50%, Berprestasi/Kurang Mampu</v>
      </c>
      <c r="W160" s="24" t="str">
        <f>IFERROR(VLOOKUP(Table11[[#This Row],[Nama]],'[1]TABEL BEASISWA'!$B$4:$E$202,4,FALSE)," ")</f>
        <v>Angkatan 4</v>
      </c>
      <c r="X160" s="25"/>
      <c r="Y160" s="25"/>
      <c r="Z160" s="26"/>
      <c r="AA160" s="25"/>
      <c r="AB160" s="25"/>
      <c r="AC160" s="130">
        <v>1001001</v>
      </c>
      <c r="AD160" s="130">
        <v>317404</v>
      </c>
      <c r="AE160" s="130">
        <v>3174041005</v>
      </c>
      <c r="AF160" s="130" t="s">
        <v>2346</v>
      </c>
    </row>
    <row r="161" spans="1:872" ht="28">
      <c r="A161" s="10">
        <f t="shared" si="2"/>
        <v>160</v>
      </c>
      <c r="B161" s="56">
        <v>2230124163</v>
      </c>
      <c r="C161" s="58" t="s">
        <v>1254</v>
      </c>
      <c r="D161" s="57" t="s">
        <v>1255</v>
      </c>
      <c r="E161" s="11" t="s">
        <v>1256</v>
      </c>
      <c r="F161" s="19" t="s">
        <v>67</v>
      </c>
      <c r="G161" s="27" t="s">
        <v>1257</v>
      </c>
      <c r="H161" s="12" t="s">
        <v>1258</v>
      </c>
      <c r="I161" s="132">
        <v>38497</v>
      </c>
      <c r="J161" s="19" t="s">
        <v>35</v>
      </c>
      <c r="K161" s="17" t="s">
        <v>1259</v>
      </c>
      <c r="L161" s="11" t="s">
        <v>49</v>
      </c>
      <c r="M161" s="11" t="s">
        <v>143</v>
      </c>
      <c r="N161" s="18" t="s">
        <v>1260</v>
      </c>
      <c r="O161" s="19" t="s">
        <v>1260</v>
      </c>
      <c r="P161" s="19" t="s">
        <v>1261</v>
      </c>
      <c r="Q161" s="19">
        <v>31511</v>
      </c>
      <c r="R161" s="18" t="s">
        <v>41</v>
      </c>
      <c r="S161" s="18" t="s">
        <v>263</v>
      </c>
      <c r="T161" s="21" t="str">
        <f>VLOOKUP(C161,'[1]TABEL SMA'!$C$8:$D$343,2,0)</f>
        <v>SMA NEGERI 1 PAGAR ALAM</v>
      </c>
      <c r="U161" s="22" t="str">
        <f>IFERROR(VLOOKUP(Table11[[#This Row],[Nama]],'[1]TABEL BEASISWA'!$B$4:$D$202,2,FALSE),"TIDAK")</f>
        <v>YA</v>
      </c>
      <c r="V161" s="23" t="str">
        <f>IFERROR(VLOOKUP(Table11[[#This Row],[Nama]],'[1]TABEL BEASISWA'!$B$4:$D$202,3,FALSE),"Tidak ada")</f>
        <v>Beasiswa 50%, Berprestasi/Kurang Mampu</v>
      </c>
      <c r="W161" s="24" t="str">
        <f>IFERROR(VLOOKUP(Table11[[#This Row],[Nama]],'[1]TABEL BEASISWA'!$B$4:$E$202,4,FALSE)," ")</f>
        <v>Angkatan 4</v>
      </c>
      <c r="X161" s="25"/>
      <c r="Y161" s="25"/>
      <c r="Z161" s="26"/>
      <c r="AA161" s="25"/>
      <c r="AB161" s="25"/>
      <c r="AC161" s="130">
        <v>1001001</v>
      </c>
      <c r="AD161" s="130">
        <v>167201</v>
      </c>
      <c r="AE161" s="130">
        <v>1672011016</v>
      </c>
      <c r="AF161" s="130" t="s">
        <v>2346</v>
      </c>
    </row>
    <row r="162" spans="1:872" ht="28">
      <c r="A162" s="10">
        <f t="shared" si="2"/>
        <v>161</v>
      </c>
      <c r="B162" s="56">
        <v>2230124164</v>
      </c>
      <c r="C162" s="58" t="s">
        <v>1262</v>
      </c>
      <c r="D162" s="57" t="s">
        <v>1263</v>
      </c>
      <c r="E162" s="11" t="s">
        <v>1264</v>
      </c>
      <c r="F162" s="19" t="s">
        <v>32</v>
      </c>
      <c r="G162" s="27" t="s">
        <v>1265</v>
      </c>
      <c r="H162" s="12" t="s">
        <v>34</v>
      </c>
      <c r="I162" s="132">
        <v>38313</v>
      </c>
      <c r="J162" s="19" t="s">
        <v>35</v>
      </c>
      <c r="K162" s="17" t="s">
        <v>1266</v>
      </c>
      <c r="L162" s="11" t="s">
        <v>37</v>
      </c>
      <c r="M162" s="11" t="s">
        <v>143</v>
      </c>
      <c r="N162" s="18" t="s">
        <v>472</v>
      </c>
      <c r="O162" s="19" t="s">
        <v>472</v>
      </c>
      <c r="P162" s="19" t="s">
        <v>472</v>
      </c>
      <c r="Q162" s="19">
        <v>10310</v>
      </c>
      <c r="R162" s="18" t="s">
        <v>41</v>
      </c>
      <c r="S162" s="18" t="s">
        <v>52</v>
      </c>
      <c r="T162" s="21" t="str">
        <f>VLOOKUP(C162,'[1]TABEL SMA'!$C$8:$D$343,2,0)</f>
        <v>SMAN 1 JAKARTA</v>
      </c>
      <c r="U162" s="22" t="str">
        <f>IFERROR(VLOOKUP(Table11[[#This Row],[Nama]],'[1]TABEL BEASISWA'!$B$4:$D$202,2,FALSE),"TIDAK")</f>
        <v>YA</v>
      </c>
      <c r="V162" s="23" t="str">
        <f>IFERROR(VLOOKUP(Table11[[#This Row],[Nama]],'[1]TABEL BEASISWA'!$B$4:$D$202,3,FALSE),"Tidak ada")</f>
        <v>Beasiswa 50%, Berprestasi/Kurang Mampu</v>
      </c>
      <c r="W162" s="24" t="str">
        <f>IFERROR(VLOOKUP(Table11[[#This Row],[Nama]],'[1]TABEL BEASISWA'!$B$4:$E$202,4,FALSE)," ")</f>
        <v>Angkatan 4</v>
      </c>
      <c r="X162" s="25"/>
      <c r="Y162" s="25"/>
      <c r="Z162" s="26"/>
      <c r="AA162" s="25"/>
      <c r="AB162" s="25"/>
      <c r="AC162" s="130">
        <v>1001001</v>
      </c>
      <c r="AD162" s="130">
        <v>317106</v>
      </c>
      <c r="AE162" s="130">
        <v>3171061001</v>
      </c>
      <c r="AF162" s="130" t="s">
        <v>2346</v>
      </c>
    </row>
    <row r="163" spans="1:872" ht="42">
      <c r="A163" s="10">
        <f t="shared" si="2"/>
        <v>162</v>
      </c>
      <c r="B163" s="56">
        <v>2230124165</v>
      </c>
      <c r="C163" s="58" t="s">
        <v>1267</v>
      </c>
      <c r="D163" s="57" t="s">
        <v>1268</v>
      </c>
      <c r="E163" s="11" t="s">
        <v>1269</v>
      </c>
      <c r="F163" s="19" t="s">
        <v>32</v>
      </c>
      <c r="G163" s="27" t="s">
        <v>1270</v>
      </c>
      <c r="H163" s="12" t="s">
        <v>195</v>
      </c>
      <c r="I163" s="132">
        <v>37544</v>
      </c>
      <c r="J163" s="19" t="s">
        <v>35</v>
      </c>
      <c r="K163" s="17" t="s">
        <v>1271</v>
      </c>
      <c r="L163" s="11" t="s">
        <v>79</v>
      </c>
      <c r="M163" s="11" t="s">
        <v>37</v>
      </c>
      <c r="N163" s="18" t="s">
        <v>195</v>
      </c>
      <c r="O163" s="19" t="s">
        <v>195</v>
      </c>
      <c r="P163" s="19" t="s">
        <v>685</v>
      </c>
      <c r="Q163" s="19">
        <v>28411</v>
      </c>
      <c r="R163" s="18" t="s">
        <v>41</v>
      </c>
      <c r="S163" s="18" t="s">
        <v>52</v>
      </c>
      <c r="T163" s="21" t="str">
        <f>VLOOKUP(C163,'[1]TABEL SMA'!$C$8:$D$343,2,0)</f>
        <v>MA MUALLIMIN MUHAMMADIYAH BANGKINANG KOTA</v>
      </c>
      <c r="U163" s="22" t="str">
        <f>IFERROR(VLOOKUP(Table11[[#This Row],[Nama]],'[1]TABEL BEASISWA'!$B$4:$D$202,2,FALSE),"TIDAK")</f>
        <v>YA</v>
      </c>
      <c r="V163" s="23" t="str">
        <f>IFERROR(VLOOKUP(Table11[[#This Row],[Nama]],'[1]TABEL BEASISWA'!$B$4:$D$202,3,FALSE),"Tidak ada")</f>
        <v>Beasiswa 50%, Berprestasi/Kurang Mampu</v>
      </c>
      <c r="W163" s="24" t="str">
        <f>IFERROR(VLOOKUP(Table11[[#This Row],[Nama]],'[1]TABEL BEASISWA'!$B$4:$E$202,4,FALSE)," ")</f>
        <v>Angkatan 4</v>
      </c>
      <c r="X163" s="25"/>
      <c r="Y163" s="25"/>
      <c r="Z163" s="26"/>
      <c r="AA163" s="25"/>
      <c r="AB163" s="25"/>
      <c r="AC163" s="130">
        <v>1001001</v>
      </c>
      <c r="AD163" s="130">
        <v>140101</v>
      </c>
      <c r="AE163" s="130">
        <v>1401011011</v>
      </c>
      <c r="AF163" s="130" t="s">
        <v>2346</v>
      </c>
    </row>
    <row r="164" spans="1:872" ht="28">
      <c r="A164" s="10">
        <f t="shared" si="2"/>
        <v>163</v>
      </c>
      <c r="B164" s="56">
        <v>2230124166</v>
      </c>
      <c r="C164" s="58" t="s">
        <v>1272</v>
      </c>
      <c r="D164" s="57" t="s">
        <v>1273</v>
      </c>
      <c r="E164" s="11" t="s">
        <v>1274</v>
      </c>
      <c r="F164" s="19" t="s">
        <v>67</v>
      </c>
      <c r="G164" s="27" t="s">
        <v>1275</v>
      </c>
      <c r="H164" s="12" t="s">
        <v>34</v>
      </c>
      <c r="I164" s="132">
        <v>37842</v>
      </c>
      <c r="J164" s="19" t="s">
        <v>35</v>
      </c>
      <c r="K164" s="17" t="s">
        <v>1276</v>
      </c>
      <c r="L164" s="11" t="s">
        <v>169</v>
      </c>
      <c r="M164" s="11" t="s">
        <v>60</v>
      </c>
      <c r="N164" s="18" t="s">
        <v>1277</v>
      </c>
      <c r="O164" s="19" t="s">
        <v>1277</v>
      </c>
      <c r="P164" s="19" t="s">
        <v>1278</v>
      </c>
      <c r="Q164" s="19">
        <v>11460</v>
      </c>
      <c r="R164" s="18" t="s">
        <v>41</v>
      </c>
      <c r="S164" s="18" t="s">
        <v>52</v>
      </c>
      <c r="T164" s="21" t="str">
        <f>VLOOKUP(C164,'[1]TABEL SMA'!$C$8:$D$343,2,0)</f>
        <v>SMA NEGERI 25 JAKARTA PUSAT</v>
      </c>
      <c r="U164" s="22" t="str">
        <f>IFERROR(VLOOKUP(Table11[[#This Row],[Nama]],'[1]TABEL BEASISWA'!$B$4:$D$202,2,FALSE),"TIDAK")</f>
        <v>YA</v>
      </c>
      <c r="V164" s="23" t="str">
        <f>IFERROR(VLOOKUP(Table11[[#This Row],[Nama]],'[1]TABEL BEASISWA'!$B$4:$D$202,3,FALSE),"Tidak ada")</f>
        <v>Beasiswa 50%, Berprestasi/Kurang Mampu</v>
      </c>
      <c r="W164" s="24" t="str">
        <f>IFERROR(VLOOKUP(Table11[[#This Row],[Nama]],'[1]TABEL BEASISWA'!$B$4:$E$202,4,FALSE)," ")</f>
        <v>Angkatan 4</v>
      </c>
      <c r="X164" s="25"/>
      <c r="Y164" s="25"/>
      <c r="Z164" s="26"/>
      <c r="AA164" s="25"/>
      <c r="AB164" s="25"/>
      <c r="AC164" s="130">
        <v>1001001</v>
      </c>
      <c r="AD164" s="130">
        <v>317302</v>
      </c>
      <c r="AE164" s="130">
        <v>3173021007</v>
      </c>
      <c r="AF164" s="130" t="s">
        <v>2346</v>
      </c>
    </row>
    <row r="165" spans="1:872" ht="42">
      <c r="A165" s="10">
        <f t="shared" si="2"/>
        <v>164</v>
      </c>
      <c r="B165" s="56">
        <v>2230124167</v>
      </c>
      <c r="C165" s="58" t="s">
        <v>1279</v>
      </c>
      <c r="D165" s="57" t="s">
        <v>1280</v>
      </c>
      <c r="E165" s="11" t="s">
        <v>1281</v>
      </c>
      <c r="F165" s="19" t="s">
        <v>67</v>
      </c>
      <c r="G165" s="27" t="s">
        <v>1282</v>
      </c>
      <c r="H165" s="12" t="s">
        <v>34</v>
      </c>
      <c r="I165" s="132">
        <v>38876</v>
      </c>
      <c r="J165" s="19" t="s">
        <v>35</v>
      </c>
      <c r="K165" s="17" t="s">
        <v>1283</v>
      </c>
      <c r="L165" s="11" t="s">
        <v>50</v>
      </c>
      <c r="M165" s="11" t="s">
        <v>50</v>
      </c>
      <c r="N165" s="18" t="s">
        <v>1011</v>
      </c>
      <c r="O165" s="19" t="s">
        <v>1011</v>
      </c>
      <c r="P165" s="19" t="s">
        <v>1011</v>
      </c>
      <c r="Q165" s="19">
        <v>12620</v>
      </c>
      <c r="R165" s="18" t="s">
        <v>41</v>
      </c>
      <c r="S165" s="18" t="s">
        <v>52</v>
      </c>
      <c r="T165" s="21" t="str">
        <f>VLOOKUP(C165,'[1]TABEL SMA'!$C$8:$D$343,2,0)</f>
        <v>SMA KEMALA BHAYANGKARI 1 JAKARTA</v>
      </c>
      <c r="U165" s="22" t="str">
        <f>IFERROR(VLOOKUP(Table11[[#This Row],[Nama]],'[1]TABEL BEASISWA'!$B$4:$D$202,2,FALSE),"TIDAK")</f>
        <v>YA</v>
      </c>
      <c r="V165" s="23" t="str">
        <f>IFERROR(VLOOKUP(Table11[[#This Row],[Nama]],'[1]TABEL BEASISWA'!$B$4:$D$202,3,FALSE),"Tidak ada")</f>
        <v>Beasiswa 50%, Berprestasi/Kurang Mampu</v>
      </c>
      <c r="W165" s="24" t="str">
        <f>IFERROR(VLOOKUP(Table11[[#This Row],[Nama]],'[1]TABEL BEASISWA'!$B$4:$E$202,4,FALSE)," ")</f>
        <v>Angkatan 4</v>
      </c>
      <c r="X165" s="25"/>
      <c r="Y165" s="25"/>
      <c r="Z165" s="26"/>
      <c r="AA165" s="25"/>
      <c r="AB165" s="25"/>
      <c r="AC165" s="130">
        <v>1001001</v>
      </c>
      <c r="AD165" s="130">
        <v>317409</v>
      </c>
      <c r="AE165" s="130">
        <v>3174091001</v>
      </c>
      <c r="AF165" s="130" t="s">
        <v>2346</v>
      </c>
    </row>
    <row r="166" spans="1:872" ht="42">
      <c r="A166" s="10">
        <f t="shared" si="2"/>
        <v>165</v>
      </c>
      <c r="B166" s="56">
        <v>2230124168</v>
      </c>
      <c r="C166" s="58" t="s">
        <v>1284</v>
      </c>
      <c r="D166" s="57" t="s">
        <v>1285</v>
      </c>
      <c r="E166" s="19">
        <v>9930241035</v>
      </c>
      <c r="F166" s="19" t="s">
        <v>32</v>
      </c>
      <c r="G166" s="27" t="s">
        <v>1286</v>
      </c>
      <c r="H166" s="12" t="s">
        <v>1287</v>
      </c>
      <c r="I166" s="132">
        <v>34277</v>
      </c>
      <c r="J166" s="19" t="s">
        <v>35</v>
      </c>
      <c r="K166" s="17" t="s">
        <v>1288</v>
      </c>
      <c r="L166" s="11" t="s">
        <v>79</v>
      </c>
      <c r="M166" s="11" t="s">
        <v>143</v>
      </c>
      <c r="N166" s="18" t="s">
        <v>1289</v>
      </c>
      <c r="O166" s="19" t="s">
        <v>1289</v>
      </c>
      <c r="P166" s="19" t="s">
        <v>1290</v>
      </c>
      <c r="Q166" s="19">
        <v>92161</v>
      </c>
      <c r="R166" s="18" t="s">
        <v>41</v>
      </c>
      <c r="S166" s="18" t="s">
        <v>1291</v>
      </c>
      <c r="T166" s="21" t="str">
        <f>VLOOKUP(C166,'[1]TABEL SMA'!$C$8:$D$343,2,0)</f>
        <v>YAPIP MAKASSAR SUNGGUMINASA, KABUPATEN GOWA</v>
      </c>
      <c r="U166" s="22" t="str">
        <f>IFERROR(VLOOKUP(Table11[[#This Row],[Nama]],'[1]TABEL BEASISWA'!$B$4:$D$202,2,FALSE),"TIDAK")</f>
        <v>YA</v>
      </c>
      <c r="V166" s="23" t="str">
        <f>IFERROR(VLOOKUP(Table11[[#This Row],[Nama]],'[1]TABEL BEASISWA'!$B$4:$D$202,3,FALSE),"Tidak ada")</f>
        <v>Beasiswa 80%, Berprestasi/Kurang Mampu</v>
      </c>
      <c r="W166" s="24" t="str">
        <f>IFERROR(VLOOKUP(Table11[[#This Row],[Nama]],'[1]TABEL BEASISWA'!$B$4:$E$202,4,FALSE)," ")</f>
        <v>Angkatan 4</v>
      </c>
      <c r="X166" s="25"/>
      <c r="Y166" s="25"/>
      <c r="Z166" s="26"/>
      <c r="AA166" s="25"/>
      <c r="AB166" s="25"/>
      <c r="AC166" s="130">
        <v>1001001</v>
      </c>
      <c r="AD166" s="130">
        <v>730607</v>
      </c>
      <c r="AE166" s="130"/>
      <c r="AF166" s="130" t="s">
        <v>2348</v>
      </c>
    </row>
    <row r="167" spans="1:872" ht="28">
      <c r="A167" s="10">
        <f t="shared" si="2"/>
        <v>166</v>
      </c>
      <c r="B167" s="56">
        <v>2230124169</v>
      </c>
      <c r="C167" s="58" t="s">
        <v>1292</v>
      </c>
      <c r="D167" s="57" t="s">
        <v>1293</v>
      </c>
      <c r="E167" s="19">
        <v>9948010493</v>
      </c>
      <c r="F167" s="19" t="s">
        <v>67</v>
      </c>
      <c r="G167" s="27" t="s">
        <v>1294</v>
      </c>
      <c r="H167" s="12" t="s">
        <v>1295</v>
      </c>
      <c r="I167" s="132">
        <v>34553</v>
      </c>
      <c r="J167" s="19" t="s">
        <v>35</v>
      </c>
      <c r="K167" s="17" t="s">
        <v>1288</v>
      </c>
      <c r="L167" s="11" t="s">
        <v>79</v>
      </c>
      <c r="M167" s="11" t="s">
        <v>143</v>
      </c>
      <c r="N167" s="18" t="s">
        <v>1289</v>
      </c>
      <c r="O167" s="19" t="s">
        <v>1289</v>
      </c>
      <c r="P167" s="19" t="s">
        <v>1290</v>
      </c>
      <c r="Q167" s="19">
        <v>92161</v>
      </c>
      <c r="R167" s="18" t="s">
        <v>41</v>
      </c>
      <c r="S167" s="18" t="s">
        <v>1291</v>
      </c>
      <c r="T167" s="21" t="str">
        <f>VLOOKUP(C167,'[1]TABEL SMA'!$C$8:$D$343,2,0)</f>
        <v>MA BAHRUL ULUM</v>
      </c>
      <c r="U167" s="22" t="str">
        <f>IFERROR(VLOOKUP(Table11[[#This Row],[Nama]],'[1]TABEL BEASISWA'!$B$4:$D$202,2,FALSE),"TIDAK")</f>
        <v>YA</v>
      </c>
      <c r="V167" s="23" t="str">
        <f>IFERROR(VLOOKUP(Table11[[#This Row],[Nama]],'[1]TABEL BEASISWA'!$B$4:$D$202,3,FALSE),"Tidak ada")</f>
        <v>Beasiswa 80%, Berprestasi/Kurang Mampu</v>
      </c>
      <c r="W167" s="24" t="str">
        <f>IFERROR(VLOOKUP(Table11[[#This Row],[Nama]],'[1]TABEL BEASISWA'!$B$4:$E$202,4,FALSE)," ")</f>
        <v>Angkatan 4</v>
      </c>
      <c r="X167" s="25"/>
      <c r="Y167" s="25"/>
      <c r="Z167" s="26"/>
      <c r="AA167" s="25"/>
      <c r="AB167" s="25"/>
      <c r="AC167" s="130">
        <v>1001001</v>
      </c>
      <c r="AD167" s="130">
        <v>730607</v>
      </c>
      <c r="AE167" s="130"/>
      <c r="AF167" s="130" t="s">
        <v>2348</v>
      </c>
    </row>
    <row r="168" spans="1:872" ht="28">
      <c r="A168" s="10">
        <f t="shared" si="2"/>
        <v>167</v>
      </c>
      <c r="B168" s="56">
        <v>2230124170</v>
      </c>
      <c r="C168" s="58" t="s">
        <v>1296</v>
      </c>
      <c r="D168" s="57" t="s">
        <v>1297</v>
      </c>
      <c r="E168" s="11" t="s">
        <v>1298</v>
      </c>
      <c r="F168" s="19" t="s">
        <v>32</v>
      </c>
      <c r="G168" s="27" t="s">
        <v>1299</v>
      </c>
      <c r="H168" s="12" t="s">
        <v>1300</v>
      </c>
      <c r="I168" s="132">
        <v>38497</v>
      </c>
      <c r="J168" s="19" t="s">
        <v>35</v>
      </c>
      <c r="K168" s="17" t="s">
        <v>1301</v>
      </c>
      <c r="L168" s="11" t="s">
        <v>143</v>
      </c>
      <c r="M168" s="11" t="s">
        <v>169</v>
      </c>
      <c r="N168" s="18" t="s">
        <v>1302</v>
      </c>
      <c r="O168" s="19" t="s">
        <v>1302</v>
      </c>
      <c r="P168" s="19" t="s">
        <v>1303</v>
      </c>
      <c r="Q168" s="19">
        <v>53194</v>
      </c>
      <c r="R168" s="18" t="s">
        <v>41</v>
      </c>
      <c r="S168" s="18" t="s">
        <v>263</v>
      </c>
      <c r="T168" s="21" t="str">
        <f>VLOOKUP(C168,'[1]TABEL SMA'!$C$8:$D$343,2,0)</f>
        <v>SMA NEGERI 1 KROYA</v>
      </c>
      <c r="U168" s="22" t="str">
        <f>IFERROR(VLOOKUP(Table11[[#This Row],[Nama]],'[1]TABEL BEASISWA'!$B$4:$D$202,2,FALSE),"TIDAK")</f>
        <v>YA</v>
      </c>
      <c r="V168" s="23" t="str">
        <f>IFERROR(VLOOKUP(Table11[[#This Row],[Nama]],'[1]TABEL BEASISWA'!$B$4:$D$202,3,FALSE),"Tidak ada")</f>
        <v>Beasiswa 80%, Berprestasi/Kurang Mampu</v>
      </c>
      <c r="W168" s="24" t="str">
        <f>IFERROR(VLOOKUP(Table11[[#This Row],[Nama]],'[1]TABEL BEASISWA'!$B$4:$E$202,4,FALSE)," ")</f>
        <v>Angkatan 4</v>
      </c>
      <c r="X168" s="25"/>
      <c r="Y168" s="25"/>
      <c r="Z168" s="26"/>
      <c r="AA168" s="25"/>
      <c r="AB168" s="25"/>
      <c r="AC168" s="130">
        <v>1001001</v>
      </c>
      <c r="AD168" s="130">
        <v>330206</v>
      </c>
      <c r="AE168" s="130">
        <v>3302062003</v>
      </c>
      <c r="AF168" s="130" t="s">
        <v>2346</v>
      </c>
    </row>
    <row r="169" spans="1:872" ht="28">
      <c r="A169" s="10">
        <f t="shared" si="2"/>
        <v>168</v>
      </c>
      <c r="B169" s="56">
        <v>2230124171</v>
      </c>
      <c r="C169" s="58" t="s">
        <v>1304</v>
      </c>
      <c r="D169" s="57" t="s">
        <v>1305</v>
      </c>
      <c r="E169" s="11" t="s">
        <v>1306</v>
      </c>
      <c r="F169" s="19" t="s">
        <v>67</v>
      </c>
      <c r="G169" s="27" t="s">
        <v>1307</v>
      </c>
      <c r="H169" s="12" t="s">
        <v>34</v>
      </c>
      <c r="I169" s="132">
        <v>38135</v>
      </c>
      <c r="J169" s="19" t="s">
        <v>97</v>
      </c>
      <c r="K169" s="17" t="s">
        <v>1308</v>
      </c>
      <c r="L169" s="11" t="s">
        <v>61</v>
      </c>
      <c r="M169" s="11" t="s">
        <v>60</v>
      </c>
      <c r="N169" s="18" t="s">
        <v>1309</v>
      </c>
      <c r="O169" s="19" t="s">
        <v>1309</v>
      </c>
      <c r="P169" s="19" t="s">
        <v>1310</v>
      </c>
      <c r="Q169" s="19">
        <v>16191</v>
      </c>
      <c r="R169" s="18" t="s">
        <v>41</v>
      </c>
      <c r="S169" s="18" t="s">
        <v>52</v>
      </c>
      <c r="T169" s="21" t="str">
        <f>VLOOKUP(C169,'[1]TABEL SMA'!$C$8:$D$343,2,0)</f>
        <v>SMA PONDOK DAUN</v>
      </c>
      <c r="U169" s="22" t="str">
        <f>IFERROR(VLOOKUP(Table11[[#This Row],[Nama]],'[1]TABEL BEASISWA'!$B$4:$D$202,2,FALSE),"TIDAK")</f>
        <v>YA</v>
      </c>
      <c r="V169" s="23" t="str">
        <f>IFERROR(VLOOKUP(Table11[[#This Row],[Nama]],'[1]TABEL BEASISWA'!$B$4:$D$202,3,FALSE),"Tidak ada")</f>
        <v>Beasiswa 80%, Berprestasi/Kurang Mampu</v>
      </c>
      <c r="W169" s="24" t="str">
        <f>IFERROR(VLOOKUP(Table11[[#This Row],[Nama]],'[1]TABEL BEASISWA'!$B$4:$E$202,4,FALSE)," ")</f>
        <v>Angkatan 4</v>
      </c>
      <c r="X169" s="25"/>
      <c r="Y169" s="25"/>
      <c r="Z169" s="26"/>
      <c r="AA169" s="25"/>
      <c r="AB169" s="25"/>
      <c r="AC169" s="130">
        <v>1001002</v>
      </c>
      <c r="AD169" s="130">
        <v>320320</v>
      </c>
      <c r="AE169" s="130"/>
      <c r="AF169" s="130" t="s">
        <v>2346</v>
      </c>
    </row>
    <row r="170" spans="1:872" ht="42">
      <c r="A170" s="10">
        <f t="shared" si="2"/>
        <v>169</v>
      </c>
      <c r="B170" s="56">
        <v>2230124172</v>
      </c>
      <c r="C170" s="58" t="s">
        <v>1311</v>
      </c>
      <c r="D170" s="57" t="s">
        <v>1312</v>
      </c>
      <c r="E170" s="11" t="s">
        <v>1313</v>
      </c>
      <c r="F170" s="19" t="s">
        <v>67</v>
      </c>
      <c r="G170" s="27" t="s">
        <v>1314</v>
      </c>
      <c r="H170" s="12" t="s">
        <v>1315</v>
      </c>
      <c r="I170" s="132">
        <v>38775</v>
      </c>
      <c r="J170" s="19" t="s">
        <v>97</v>
      </c>
      <c r="K170" s="17" t="s">
        <v>1316</v>
      </c>
      <c r="L170" s="11" t="s">
        <v>1043</v>
      </c>
      <c r="M170" s="11" t="s">
        <v>169</v>
      </c>
      <c r="N170" s="18" t="s">
        <v>1317</v>
      </c>
      <c r="O170" s="19" t="s">
        <v>1317</v>
      </c>
      <c r="P170" s="19" t="s">
        <v>1318</v>
      </c>
      <c r="Q170" s="19">
        <v>95126</v>
      </c>
      <c r="R170" s="18" t="s">
        <v>41</v>
      </c>
      <c r="S170" s="18" t="s">
        <v>52</v>
      </c>
      <c r="T170" s="21" t="str">
        <f>VLOOKUP(C170,'[1]TABEL SMA'!$C$8:$D$343,2,0)</f>
        <v>SMA NEGERI 1 MANADO</v>
      </c>
      <c r="U170" s="22" t="str">
        <f>IFERROR(VLOOKUP(Table11[[#This Row],[Nama]],'[1]TABEL BEASISWA'!$B$4:$D$202,2,FALSE),"TIDAK")</f>
        <v>YA</v>
      </c>
      <c r="V170" s="23" t="str">
        <f>IFERROR(VLOOKUP(Table11[[#This Row],[Nama]],'[1]TABEL BEASISWA'!$B$4:$D$202,3,FALSE),"Tidak ada")</f>
        <v>Beasiswa 80%, Keluarga Adhyaksa (Putra Putri Jaksa)</v>
      </c>
      <c r="W170" s="24" t="str">
        <f>IFERROR(VLOOKUP(Table11[[#This Row],[Nama]],'[1]TABEL BEASISWA'!$B$4:$E$202,4,FALSE)," ")</f>
        <v>Angkatan 4</v>
      </c>
      <c r="X170" s="25"/>
      <c r="Y170" s="25"/>
      <c r="Z170" s="26"/>
      <c r="AA170" s="25"/>
      <c r="AB170" s="25"/>
      <c r="AC170" s="130">
        <v>1001002</v>
      </c>
      <c r="AD170" s="130">
        <v>717105</v>
      </c>
      <c r="AE170" s="130">
        <v>7171051008</v>
      </c>
      <c r="AF170" s="130" t="s">
        <v>2346</v>
      </c>
    </row>
    <row r="171" spans="1:872" ht="28">
      <c r="A171" s="10">
        <f t="shared" si="2"/>
        <v>170</v>
      </c>
      <c r="B171" s="56">
        <v>2230124173</v>
      </c>
      <c r="C171" s="58" t="s">
        <v>1319</v>
      </c>
      <c r="D171" s="57" t="s">
        <v>1320</v>
      </c>
      <c r="E171" s="11" t="s">
        <v>1321</v>
      </c>
      <c r="F171" s="19" t="s">
        <v>67</v>
      </c>
      <c r="G171" s="27" t="s">
        <v>1322</v>
      </c>
      <c r="H171" s="12" t="s">
        <v>34</v>
      </c>
      <c r="I171" s="132">
        <v>38842</v>
      </c>
      <c r="J171" s="19" t="s">
        <v>35</v>
      </c>
      <c r="K171" s="17" t="s">
        <v>1323</v>
      </c>
      <c r="L171" s="11" t="s">
        <v>79</v>
      </c>
      <c r="M171" s="11" t="s">
        <v>338</v>
      </c>
      <c r="N171" s="18" t="s">
        <v>1324</v>
      </c>
      <c r="O171" s="19" t="s">
        <v>1324</v>
      </c>
      <c r="P171" s="19" t="s">
        <v>1325</v>
      </c>
      <c r="Q171" s="19" t="s">
        <v>140</v>
      </c>
      <c r="R171" s="18" t="s">
        <v>41</v>
      </c>
      <c r="S171" s="18" t="s">
        <v>458</v>
      </c>
      <c r="T171" s="21" t="str">
        <f>VLOOKUP(C171,'[1]TABEL SMA'!$C$8:$D$343,2,0)</f>
        <v>SMA YAPAN INDONESIA</v>
      </c>
      <c r="U171" s="22" t="str">
        <f>IFERROR(VLOOKUP(Table11[[#This Row],[Nama]],'[1]TABEL BEASISWA'!$B$4:$D$202,2,FALSE),"TIDAK")</f>
        <v>YA</v>
      </c>
      <c r="V171" s="23" t="str">
        <f>IFERROR(VLOOKUP(Table11[[#This Row],[Nama]],'[1]TABEL BEASISWA'!$B$4:$D$202,3,FALSE),"Tidak ada")</f>
        <v>Beasiswa 100%, Umum</v>
      </c>
      <c r="W171" s="24" t="str">
        <f>IFERROR(VLOOKUP(Table11[[#This Row],[Nama]],'[1]TABEL BEASISWA'!$B$4:$E$202,4,FALSE)," ")</f>
        <v>Angkatan 4</v>
      </c>
      <c r="X171" s="25"/>
      <c r="Y171" s="25"/>
      <c r="Z171" s="26"/>
      <c r="AA171" s="25"/>
      <c r="AB171" s="25"/>
      <c r="AC171" s="130">
        <v>1001001</v>
      </c>
      <c r="AD171" s="130">
        <v>320113</v>
      </c>
      <c r="AE171" s="130">
        <v>3201132004</v>
      </c>
      <c r="AF171" s="130" t="s">
        <v>2348</v>
      </c>
    </row>
    <row r="172" spans="1:872" ht="28">
      <c r="A172" s="10">
        <f t="shared" si="2"/>
        <v>171</v>
      </c>
      <c r="B172" s="56">
        <v>2230124174</v>
      </c>
      <c r="C172" s="58" t="s">
        <v>1326</v>
      </c>
      <c r="D172" s="58" t="s">
        <v>1327</v>
      </c>
      <c r="E172" s="11" t="s">
        <v>1328</v>
      </c>
      <c r="F172" s="19" t="s">
        <v>67</v>
      </c>
      <c r="G172" s="27" t="s">
        <v>1329</v>
      </c>
      <c r="H172" s="12" t="s">
        <v>1330</v>
      </c>
      <c r="I172" s="132">
        <v>38678</v>
      </c>
      <c r="J172" s="19" t="s">
        <v>35</v>
      </c>
      <c r="K172" s="17" t="s">
        <v>1331</v>
      </c>
      <c r="L172" s="11" t="s">
        <v>37</v>
      </c>
      <c r="M172" s="11" t="s">
        <v>61</v>
      </c>
      <c r="N172" s="18" t="s">
        <v>1332</v>
      </c>
      <c r="O172" s="19" t="s">
        <v>1332</v>
      </c>
      <c r="P172" s="19" t="s">
        <v>997</v>
      </c>
      <c r="Q172" s="19">
        <v>10440</v>
      </c>
      <c r="R172" s="18" t="s">
        <v>41</v>
      </c>
      <c r="S172" s="18" t="s">
        <v>52</v>
      </c>
      <c r="T172" s="21" t="str">
        <f>VLOOKUP(C172,'[1]TABEL SMA'!$C$8:$D$343,2,0)</f>
        <v>SMAS BINA PANGHUDI LUHUR</v>
      </c>
      <c r="U172" s="22" t="str">
        <f>IFERROR(VLOOKUP(Table11[[#This Row],[Nama]],'[1]TABEL BEASISWA'!$B$4:$D$202,2,FALSE),"TIDAK")</f>
        <v>YA</v>
      </c>
      <c r="V172" s="23" t="str">
        <f>IFERROR(VLOOKUP(Table11[[#This Row],[Nama]],'[1]TABEL BEASISWA'!$B$4:$D$202,3,FALSE),"Tidak ada")</f>
        <v>Beasiswa 20%, Berprestasi/Kurang Mampu</v>
      </c>
      <c r="W172" s="24" t="str">
        <f>IFERROR(VLOOKUP(Table11[[#This Row],[Nama]],'[1]TABEL BEASISWA'!$B$4:$E$202,4,FALSE)," ")</f>
        <v>Angkatan 4</v>
      </c>
      <c r="X172" s="25"/>
      <c r="Y172" s="25"/>
      <c r="Z172" s="26"/>
      <c r="AA172" s="25"/>
      <c r="AB172" s="25"/>
      <c r="AC172" s="130">
        <v>1001001</v>
      </c>
      <c r="AD172" s="130">
        <v>317104</v>
      </c>
      <c r="AE172" s="130">
        <v>3171041003</v>
      </c>
      <c r="AF172" s="130" t="s">
        <v>2346</v>
      </c>
    </row>
    <row r="173" spans="1:872" ht="28">
      <c r="A173" s="61">
        <f t="shared" si="2"/>
        <v>172</v>
      </c>
      <c r="B173" s="62">
        <v>2230124175</v>
      </c>
      <c r="C173" s="63" t="s">
        <v>1333</v>
      </c>
      <c r="D173" s="64" t="s">
        <v>1334</v>
      </c>
      <c r="E173" s="65" t="s">
        <v>1335</v>
      </c>
      <c r="F173" s="66" t="s">
        <v>67</v>
      </c>
      <c r="G173" s="67" t="s">
        <v>1336</v>
      </c>
      <c r="H173" s="68" t="s">
        <v>34</v>
      </c>
      <c r="I173" s="134">
        <v>38793</v>
      </c>
      <c r="J173" s="66" t="s">
        <v>35</v>
      </c>
      <c r="K173" s="69" t="s">
        <v>969</v>
      </c>
      <c r="L173" s="65" t="s">
        <v>143</v>
      </c>
      <c r="M173" s="65" t="s">
        <v>79</v>
      </c>
      <c r="N173" s="70" t="s">
        <v>969</v>
      </c>
      <c r="O173" s="66" t="s">
        <v>969</v>
      </c>
      <c r="P173" s="66" t="s">
        <v>40</v>
      </c>
      <c r="Q173" s="66">
        <v>13860</v>
      </c>
      <c r="R173" s="70" t="s">
        <v>41</v>
      </c>
      <c r="S173" s="18" t="s">
        <v>52</v>
      </c>
      <c r="T173" s="21" t="str">
        <f>VLOOKUP(C173,'[1]TABEL SMA'!$C$8:$D$343,2,0)</f>
        <v>MAN 3 JOMBANG</v>
      </c>
      <c r="U173" s="22" t="str">
        <f>IFERROR(VLOOKUP(Table11[[#This Row],[Nama]],'[1]TABEL BEASISWA'!$B$4:$D$202,2,FALSE),"TIDAK")</f>
        <v>YA</v>
      </c>
      <c r="V173" s="23" t="str">
        <f>IFERROR(VLOOKUP(Table11[[#This Row],[Nama]],'[1]TABEL BEASISWA'!$B$4:$D$202,3,FALSE),"Tidak ada")</f>
        <v>Beasiswa 70%, Berprestasi/Kurang Mampu</v>
      </c>
      <c r="W173" s="24" t="str">
        <f>IFERROR(VLOOKUP(Table11[[#This Row],[Nama]],'[1]TABEL BEASISWA'!$B$4:$E$202,4,FALSE)," ")</f>
        <v>Angkatan 4</v>
      </c>
      <c r="X173" s="25"/>
      <c r="Y173" s="25"/>
      <c r="Z173" s="26"/>
      <c r="AA173" s="25"/>
      <c r="AB173" s="25"/>
      <c r="AC173" s="130">
        <v>1001001</v>
      </c>
      <c r="AD173" s="130">
        <v>327607</v>
      </c>
      <c r="AE173" s="130"/>
      <c r="AF173" s="130" t="s">
        <v>2346</v>
      </c>
    </row>
    <row r="174" spans="1:872" ht="28">
      <c r="A174" s="61">
        <f t="shared" si="2"/>
        <v>173</v>
      </c>
      <c r="B174" s="62">
        <v>2230124176</v>
      </c>
      <c r="C174" s="63" t="s">
        <v>1337</v>
      </c>
      <c r="D174" s="64" t="s">
        <v>1338</v>
      </c>
      <c r="E174" s="65" t="s">
        <v>1339</v>
      </c>
      <c r="F174" s="66" t="s">
        <v>67</v>
      </c>
      <c r="G174" s="67" t="s">
        <v>1340</v>
      </c>
      <c r="H174" s="68" t="s">
        <v>77</v>
      </c>
      <c r="I174" s="134">
        <v>38701</v>
      </c>
      <c r="J174" s="66" t="s">
        <v>35</v>
      </c>
      <c r="K174" s="69" t="s">
        <v>1341</v>
      </c>
      <c r="L174" s="65" t="s">
        <v>49</v>
      </c>
      <c r="M174" s="65" t="s">
        <v>50</v>
      </c>
      <c r="N174" s="70" t="s">
        <v>1342</v>
      </c>
      <c r="O174" s="66" t="s">
        <v>1342</v>
      </c>
      <c r="P174" s="66" t="s">
        <v>817</v>
      </c>
      <c r="Q174" s="66">
        <v>16454</v>
      </c>
      <c r="R174" s="70" t="s">
        <v>41</v>
      </c>
      <c r="S174" s="18" t="s">
        <v>52</v>
      </c>
      <c r="T174" s="21" t="str">
        <f>VLOOKUP(C174,'[1]TABEL SMA'!$C$8:$D$343,2,0)</f>
        <v>SMAN 7 KOTA DEPOK</v>
      </c>
      <c r="U174" s="22" t="str">
        <f>IFERROR(VLOOKUP(Table11[[#This Row],[Nama]],'[1]TABEL BEASISWA'!$B$4:$D$202,2,FALSE),"TIDAK")</f>
        <v>YA</v>
      </c>
      <c r="V174" s="23" t="str">
        <f>IFERROR(VLOOKUP(Table11[[#This Row],[Nama]],'[1]TABEL BEASISWA'!$B$4:$D$202,3,FALSE),"Tidak ada")</f>
        <v>Beasiswa 20%, Berprestasi/Kurang Mampu</v>
      </c>
      <c r="W174" s="24" t="str">
        <f>IFERROR(VLOOKUP(Table11[[#This Row],[Nama]],'[1]TABEL BEASISWA'!$B$4:$E$202,4,FALSE)," ")</f>
        <v>Angkatan 4</v>
      </c>
      <c r="X174" s="25"/>
      <c r="Y174" s="25"/>
      <c r="Z174" s="26"/>
      <c r="AA174" s="25"/>
      <c r="AB174" s="25"/>
      <c r="AC174" s="130">
        <v>1001001</v>
      </c>
      <c r="AD174" s="130">
        <v>327610</v>
      </c>
      <c r="AE174" s="130">
        <v>3276101003</v>
      </c>
      <c r="AF174" s="130" t="s">
        <v>2346</v>
      </c>
    </row>
    <row r="175" spans="1:872" s="71" customFormat="1" ht="28">
      <c r="A175" s="61">
        <f t="shared" si="2"/>
        <v>174</v>
      </c>
      <c r="B175" s="62">
        <v>2230124177</v>
      </c>
      <c r="C175" s="63" t="s">
        <v>1343</v>
      </c>
      <c r="D175" s="64" t="s">
        <v>1344</v>
      </c>
      <c r="E175" s="65" t="s">
        <v>1345</v>
      </c>
      <c r="F175" s="66" t="s">
        <v>32</v>
      </c>
      <c r="G175" s="67" t="s">
        <v>1346</v>
      </c>
      <c r="H175" s="68" t="s">
        <v>486</v>
      </c>
      <c r="I175" s="134">
        <v>38553</v>
      </c>
      <c r="J175" s="66" t="s">
        <v>35</v>
      </c>
      <c r="K175" s="69" t="s">
        <v>1347</v>
      </c>
      <c r="L175" s="65" t="s">
        <v>79</v>
      </c>
      <c r="M175" s="65" t="s">
        <v>437</v>
      </c>
      <c r="N175" s="70" t="s">
        <v>1348</v>
      </c>
      <c r="O175" s="66" t="s">
        <v>1348</v>
      </c>
      <c r="P175" s="66" t="s">
        <v>1349</v>
      </c>
      <c r="Q175" s="66">
        <v>12320</v>
      </c>
      <c r="R175" s="70" t="s">
        <v>41</v>
      </c>
      <c r="S175" s="18" t="s">
        <v>52</v>
      </c>
      <c r="T175" s="21" t="str">
        <f>VLOOKUP(C175,'[1]TABEL SMA'!$C$8:$D$343,2,0)</f>
        <v>SMA NEGERI 78 JAKARTA</v>
      </c>
      <c r="U175" s="22" t="str">
        <f>IFERROR(VLOOKUP(Table11[[#This Row],[Nama]],'[1]TABEL BEASISWA'!$B$4:$D$202,2,FALSE),"TIDAK")</f>
        <v>YA</v>
      </c>
      <c r="V175" s="23" t="str">
        <f>IFERROR(VLOOKUP(Table11[[#This Row],[Nama]],'[1]TABEL BEASISWA'!$B$4:$D$202,3,FALSE),"Tidak ada")</f>
        <v>Beasiswa 25%, Berprestasi/Kurang Mampu</v>
      </c>
      <c r="W175" s="24" t="str">
        <f>IFERROR(VLOOKUP(Table11[[#This Row],[Nama]],'[1]TABEL BEASISWA'!$B$4:$E$202,4,FALSE)," ")</f>
        <v>Angkatan 4</v>
      </c>
      <c r="X175" s="25"/>
      <c r="Y175" s="25"/>
      <c r="Z175" s="26"/>
      <c r="AA175" s="25"/>
      <c r="AB175" s="25"/>
      <c r="AC175" s="130">
        <v>1001001</v>
      </c>
      <c r="AD175" s="130">
        <v>317307</v>
      </c>
      <c r="AE175" s="130">
        <v>3173071005</v>
      </c>
      <c r="AF175" s="130" t="s">
        <v>2346</v>
      </c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  <c r="ZS175"/>
      <c r="ZT175"/>
      <c r="ZU175"/>
      <c r="ZV175"/>
      <c r="ZW175"/>
      <c r="ZX175"/>
      <c r="ZY175"/>
      <c r="ZZ175"/>
      <c r="AAA175"/>
      <c r="AAB175"/>
      <c r="AAC175"/>
      <c r="AAD175"/>
      <c r="AAE175"/>
      <c r="AAF175"/>
      <c r="AAG175"/>
      <c r="AAH175"/>
      <c r="AAI175"/>
      <c r="AAJ175"/>
      <c r="AAK175"/>
      <c r="AAL175"/>
      <c r="AAM175"/>
      <c r="AAN175"/>
      <c r="AAO175"/>
      <c r="AAP175"/>
      <c r="AAQ175"/>
      <c r="AAR175"/>
      <c r="AAS175"/>
      <c r="AAT175"/>
      <c r="AAU175"/>
      <c r="AAV175"/>
      <c r="AAW175"/>
      <c r="AAX175"/>
      <c r="AAY175"/>
      <c r="AAZ175"/>
      <c r="ABA175"/>
      <c r="ABB175"/>
      <c r="ABC175"/>
      <c r="ABD175"/>
      <c r="ABE175"/>
      <c r="ABF175"/>
      <c r="ABG175"/>
      <c r="ABH175"/>
      <c r="ABI175"/>
      <c r="ABJ175"/>
      <c r="ABK175"/>
      <c r="ABL175"/>
      <c r="ABM175"/>
      <c r="ABN175"/>
      <c r="ABO175"/>
      <c r="ABP175"/>
      <c r="ABQ175"/>
      <c r="ABR175"/>
      <c r="ABS175"/>
      <c r="ABT175"/>
      <c r="ABU175"/>
      <c r="ABV175"/>
      <c r="ABW175"/>
      <c r="ABX175"/>
      <c r="ABY175"/>
      <c r="ABZ175"/>
      <c r="ACA175"/>
      <c r="ACB175"/>
      <c r="ACC175"/>
      <c r="ACD175"/>
      <c r="ACE175"/>
      <c r="ACF175"/>
      <c r="ACG175"/>
      <c r="ACH175"/>
      <c r="ACI175"/>
      <c r="ACJ175"/>
      <c r="ACK175"/>
      <c r="ACL175"/>
      <c r="ACM175"/>
      <c r="ACN175"/>
      <c r="ACO175"/>
      <c r="ACP175"/>
      <c r="ACQ175"/>
      <c r="ACR175"/>
      <c r="ACS175"/>
      <c r="ACT175"/>
      <c r="ACU175"/>
      <c r="ACV175"/>
      <c r="ACW175"/>
      <c r="ACX175"/>
      <c r="ACY175"/>
      <c r="ACZ175"/>
      <c r="ADA175"/>
      <c r="ADB175"/>
      <c r="ADC175"/>
      <c r="ADD175"/>
      <c r="ADE175"/>
      <c r="ADF175"/>
      <c r="ADG175"/>
      <c r="ADH175"/>
      <c r="ADI175"/>
      <c r="ADJ175"/>
      <c r="ADK175"/>
      <c r="ADL175"/>
      <c r="ADM175"/>
      <c r="ADN175"/>
      <c r="ADO175"/>
      <c r="ADP175"/>
      <c r="ADQ175"/>
      <c r="ADR175"/>
      <c r="ADS175"/>
      <c r="ADT175"/>
      <c r="ADU175"/>
      <c r="ADV175"/>
      <c r="ADW175"/>
      <c r="ADX175"/>
      <c r="ADY175"/>
      <c r="ADZ175"/>
      <c r="AEA175"/>
      <c r="AEB175"/>
      <c r="AEC175"/>
      <c r="AED175"/>
      <c r="AEE175"/>
      <c r="AEF175"/>
      <c r="AEG175"/>
      <c r="AEH175"/>
      <c r="AEI175"/>
      <c r="AEJ175"/>
      <c r="AEK175"/>
      <c r="AEL175"/>
      <c r="AEM175"/>
      <c r="AEN175"/>
      <c r="AEO175"/>
      <c r="AEP175"/>
      <c r="AEQ175"/>
      <c r="AER175"/>
      <c r="AES175"/>
      <c r="AET175"/>
      <c r="AEU175"/>
      <c r="AEV175"/>
      <c r="AEW175"/>
      <c r="AEX175"/>
      <c r="AEY175"/>
      <c r="AEZ175"/>
      <c r="AFA175"/>
      <c r="AFB175"/>
      <c r="AFC175"/>
      <c r="AFD175"/>
      <c r="AFE175"/>
      <c r="AFF175"/>
      <c r="AFG175"/>
      <c r="AFH175"/>
      <c r="AFI175"/>
      <c r="AFJ175"/>
      <c r="AFK175"/>
      <c r="AFL175"/>
      <c r="AFM175"/>
      <c r="AFN175"/>
      <c r="AFO175"/>
      <c r="AFP175"/>
      <c r="AFQ175"/>
      <c r="AFR175"/>
      <c r="AFS175"/>
      <c r="AFT175"/>
      <c r="AFU175"/>
      <c r="AFV175"/>
      <c r="AFW175"/>
      <c r="AFX175"/>
      <c r="AFY175"/>
      <c r="AFZ175"/>
      <c r="AGA175"/>
      <c r="AGB175"/>
      <c r="AGC175"/>
      <c r="AGD175"/>
      <c r="AGE175"/>
      <c r="AGF175"/>
      <c r="AGG175"/>
      <c r="AGH175"/>
      <c r="AGI175"/>
      <c r="AGJ175"/>
      <c r="AGK175"/>
      <c r="AGL175"/>
      <c r="AGM175"/>
      <c r="AGN175"/>
    </row>
    <row r="176" spans="1:872" s="71" customFormat="1" ht="28">
      <c r="A176" s="61">
        <f t="shared" si="2"/>
        <v>175</v>
      </c>
      <c r="B176" s="62">
        <v>2230124178</v>
      </c>
      <c r="C176" s="63" t="s">
        <v>1350</v>
      </c>
      <c r="D176" s="64" t="s">
        <v>1351</v>
      </c>
      <c r="E176" s="65" t="s">
        <v>1352</v>
      </c>
      <c r="F176" s="66" t="s">
        <v>32</v>
      </c>
      <c r="G176" s="67" t="s">
        <v>1353</v>
      </c>
      <c r="H176" s="68" t="s">
        <v>132</v>
      </c>
      <c r="I176" s="134">
        <v>38813</v>
      </c>
      <c r="J176" s="66" t="s">
        <v>35</v>
      </c>
      <c r="K176" s="69" t="s">
        <v>1354</v>
      </c>
      <c r="L176" s="65" t="s">
        <v>480</v>
      </c>
      <c r="M176" s="65" t="s">
        <v>917</v>
      </c>
      <c r="N176" s="70" t="s">
        <v>706</v>
      </c>
      <c r="O176" s="66" t="s">
        <v>706</v>
      </c>
      <c r="P176" s="66" t="s">
        <v>526</v>
      </c>
      <c r="Q176" s="66">
        <v>17424</v>
      </c>
      <c r="R176" s="70" t="s">
        <v>41</v>
      </c>
      <c r="S176" s="18" t="s">
        <v>52</v>
      </c>
      <c r="T176" s="21" t="str">
        <f>VLOOKUP(C176,'[1]TABEL SMA'!$C$8:$D$343,2,0)</f>
        <v>SMAN 6 KOTA BEKASI</v>
      </c>
      <c r="U176" s="22" t="str">
        <f>IFERROR(VLOOKUP(Table11[[#This Row],[Nama]],'[1]TABEL BEASISWA'!$B$4:$D$202,2,FALSE),"TIDAK")</f>
        <v>YA</v>
      </c>
      <c r="V176" s="23" t="str">
        <f>IFERROR(VLOOKUP(Table11[[#This Row],[Nama]],'[1]TABEL BEASISWA'!$B$4:$D$202,3,FALSE),"Tidak ada")</f>
        <v>Beasiswa 25%, Berprestasi/Kurang Mampu</v>
      </c>
      <c r="W176" s="24" t="str">
        <f>IFERROR(VLOOKUP(Table11[[#This Row],[Nama]],'[1]TABEL BEASISWA'!$B$4:$E$202,4,FALSE)," ")</f>
        <v>Angkatan 4</v>
      </c>
      <c r="X176" s="25"/>
      <c r="Y176" s="25"/>
      <c r="Z176" s="26"/>
      <c r="AA176" s="25"/>
      <c r="AB176" s="25"/>
      <c r="AC176" s="130">
        <v>1001001</v>
      </c>
      <c r="AD176" s="130">
        <v>327509</v>
      </c>
      <c r="AE176" s="130">
        <v>3275091004</v>
      </c>
      <c r="AF176" s="130" t="s">
        <v>2346</v>
      </c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  <c r="ZS176"/>
      <c r="ZT176"/>
      <c r="ZU176"/>
      <c r="ZV176"/>
      <c r="ZW176"/>
      <c r="ZX176"/>
      <c r="ZY176"/>
      <c r="ZZ176"/>
      <c r="AAA176"/>
      <c r="AAB176"/>
      <c r="AAC176"/>
      <c r="AAD176"/>
      <c r="AAE176"/>
      <c r="AAF176"/>
      <c r="AAG176"/>
      <c r="AAH176"/>
      <c r="AAI176"/>
      <c r="AAJ176"/>
      <c r="AAK176"/>
      <c r="AAL176"/>
      <c r="AAM176"/>
      <c r="AAN176"/>
      <c r="AAO176"/>
      <c r="AAP176"/>
      <c r="AAQ176"/>
      <c r="AAR176"/>
      <c r="AAS176"/>
      <c r="AAT176"/>
      <c r="AAU176"/>
      <c r="AAV176"/>
      <c r="AAW176"/>
      <c r="AAX176"/>
      <c r="AAY176"/>
      <c r="AAZ176"/>
      <c r="ABA176"/>
      <c r="ABB176"/>
      <c r="ABC176"/>
      <c r="ABD176"/>
      <c r="ABE176"/>
      <c r="ABF176"/>
      <c r="ABG176"/>
      <c r="ABH176"/>
      <c r="ABI176"/>
      <c r="ABJ176"/>
      <c r="ABK176"/>
      <c r="ABL176"/>
      <c r="ABM176"/>
      <c r="ABN176"/>
      <c r="ABO176"/>
      <c r="ABP176"/>
      <c r="ABQ176"/>
      <c r="ABR176"/>
      <c r="ABS176"/>
      <c r="ABT176"/>
      <c r="ABU176"/>
      <c r="ABV176"/>
      <c r="ABW176"/>
      <c r="ABX176"/>
      <c r="ABY176"/>
      <c r="ABZ176"/>
      <c r="ACA176"/>
      <c r="ACB176"/>
      <c r="ACC176"/>
      <c r="ACD176"/>
      <c r="ACE176"/>
      <c r="ACF176"/>
      <c r="ACG176"/>
      <c r="ACH176"/>
      <c r="ACI176"/>
      <c r="ACJ176"/>
      <c r="ACK176"/>
      <c r="ACL176"/>
      <c r="ACM176"/>
      <c r="ACN176"/>
      <c r="ACO176"/>
      <c r="ACP176"/>
      <c r="ACQ176"/>
      <c r="ACR176"/>
      <c r="ACS176"/>
      <c r="ACT176"/>
      <c r="ACU176"/>
      <c r="ACV176"/>
      <c r="ACW176"/>
      <c r="ACX176"/>
      <c r="ACY176"/>
      <c r="ACZ176"/>
      <c r="ADA176"/>
      <c r="ADB176"/>
      <c r="ADC176"/>
      <c r="ADD176"/>
      <c r="ADE176"/>
      <c r="ADF176"/>
      <c r="ADG176"/>
      <c r="ADH176"/>
      <c r="ADI176"/>
      <c r="ADJ176"/>
      <c r="ADK176"/>
      <c r="ADL176"/>
      <c r="ADM176"/>
      <c r="ADN176"/>
      <c r="ADO176"/>
      <c r="ADP176"/>
      <c r="ADQ176"/>
      <c r="ADR176"/>
      <c r="ADS176"/>
      <c r="ADT176"/>
      <c r="ADU176"/>
      <c r="ADV176"/>
      <c r="ADW176"/>
      <c r="ADX176"/>
      <c r="ADY176"/>
      <c r="ADZ176"/>
      <c r="AEA176"/>
      <c r="AEB176"/>
      <c r="AEC176"/>
      <c r="AED176"/>
      <c r="AEE176"/>
      <c r="AEF176"/>
      <c r="AEG176"/>
      <c r="AEH176"/>
      <c r="AEI176"/>
      <c r="AEJ176"/>
      <c r="AEK176"/>
      <c r="AEL176"/>
      <c r="AEM176"/>
      <c r="AEN176"/>
      <c r="AEO176"/>
      <c r="AEP176"/>
      <c r="AEQ176"/>
      <c r="AER176"/>
      <c r="AES176"/>
      <c r="AET176"/>
      <c r="AEU176"/>
      <c r="AEV176"/>
      <c r="AEW176"/>
      <c r="AEX176"/>
      <c r="AEY176"/>
      <c r="AEZ176"/>
      <c r="AFA176"/>
      <c r="AFB176"/>
      <c r="AFC176"/>
      <c r="AFD176"/>
      <c r="AFE176"/>
      <c r="AFF176"/>
      <c r="AFG176"/>
      <c r="AFH176"/>
      <c r="AFI176"/>
      <c r="AFJ176"/>
      <c r="AFK176"/>
      <c r="AFL176"/>
      <c r="AFM176"/>
      <c r="AFN176"/>
      <c r="AFO176"/>
      <c r="AFP176"/>
      <c r="AFQ176"/>
      <c r="AFR176"/>
      <c r="AFS176"/>
      <c r="AFT176"/>
      <c r="AFU176"/>
      <c r="AFV176"/>
      <c r="AFW176"/>
      <c r="AFX176"/>
      <c r="AFY176"/>
      <c r="AFZ176"/>
      <c r="AGA176"/>
      <c r="AGB176"/>
      <c r="AGC176"/>
      <c r="AGD176"/>
      <c r="AGE176"/>
      <c r="AGF176"/>
      <c r="AGG176"/>
      <c r="AGH176"/>
      <c r="AGI176"/>
      <c r="AGJ176"/>
      <c r="AGK176"/>
      <c r="AGL176"/>
      <c r="AGM176"/>
      <c r="AGN176"/>
    </row>
    <row r="177" spans="1:872" s="71" customFormat="1">
      <c r="A177" s="61">
        <f t="shared" si="2"/>
        <v>176</v>
      </c>
      <c r="B177" s="62">
        <v>2230124185</v>
      </c>
      <c r="C177" s="63" t="s">
        <v>1355</v>
      </c>
      <c r="D177" s="63" t="s">
        <v>1356</v>
      </c>
      <c r="E177" s="65" t="s">
        <v>1357</v>
      </c>
      <c r="F177" s="66" t="s">
        <v>67</v>
      </c>
      <c r="G177" s="67" t="s">
        <v>1358</v>
      </c>
      <c r="H177" s="68" t="s">
        <v>1359</v>
      </c>
      <c r="I177" s="134">
        <v>38969</v>
      </c>
      <c r="J177" s="66" t="s">
        <v>35</v>
      </c>
      <c r="K177" s="69" t="s">
        <v>1360</v>
      </c>
      <c r="L177" s="65" t="s">
        <v>60</v>
      </c>
      <c r="M177" s="65" t="s">
        <v>60</v>
      </c>
      <c r="N177" s="70" t="s">
        <v>1361</v>
      </c>
      <c r="O177" s="66" t="s">
        <v>1362</v>
      </c>
      <c r="P177" s="66" t="s">
        <v>1363</v>
      </c>
      <c r="Q177" s="66">
        <v>55871</v>
      </c>
      <c r="R177" s="70" t="s">
        <v>41</v>
      </c>
      <c r="S177" s="18" t="s">
        <v>52</v>
      </c>
      <c r="T177" s="21" t="str">
        <f>VLOOKUP(C177,'[1]TABEL SMA'!$C$8:$D$343,2,0)</f>
        <v>SMAN 53 JAKARTA</v>
      </c>
      <c r="U177" s="22" t="str">
        <f>IFERROR(VLOOKUP(Table11[[#This Row],[Nama]],'[1]TABEL BEASISWA'!$B$4:$D$202,2,FALSE),"TIDAK")</f>
        <v>YA</v>
      </c>
      <c r="V177" s="23" t="str">
        <f>IFERROR(VLOOKUP(Table11[[#This Row],[Nama]],'[1]TABEL BEASISWA'!$B$4:$D$202,3,FALSE),"Tidak ada")</f>
        <v>Beasiswa 100%, Umum</v>
      </c>
      <c r="W177" s="24" t="str">
        <f>IFERROR(VLOOKUP(Table11[[#This Row],[Nama]],'[1]TABEL BEASISWA'!$B$4:$E$202,4,FALSE)," ")</f>
        <v>Angkatan 4</v>
      </c>
      <c r="X177" s="25"/>
      <c r="Y177" s="25"/>
      <c r="Z177" s="26"/>
      <c r="AA177" s="25"/>
      <c r="AB177" s="25"/>
      <c r="AC177" s="130">
        <v>1001001</v>
      </c>
      <c r="AD177" s="130">
        <v>340305</v>
      </c>
      <c r="AE177" s="130">
        <v>3403052005</v>
      </c>
      <c r="AF177" s="130" t="s">
        <v>2346</v>
      </c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</row>
    <row r="178" spans="1:872" s="71" customFormat="1" ht="28">
      <c r="A178" s="61">
        <f t="shared" si="2"/>
        <v>177</v>
      </c>
      <c r="B178" s="62">
        <v>2230124179</v>
      </c>
      <c r="C178" s="63" t="s">
        <v>1364</v>
      </c>
      <c r="D178" s="64" t="s">
        <v>1365</v>
      </c>
      <c r="E178" s="65" t="s">
        <v>1366</v>
      </c>
      <c r="F178" s="66" t="s">
        <v>32</v>
      </c>
      <c r="G178" s="67" t="s">
        <v>1367</v>
      </c>
      <c r="H178" s="68" t="s">
        <v>34</v>
      </c>
      <c r="I178" s="134">
        <v>38859</v>
      </c>
      <c r="J178" s="66" t="s">
        <v>1368</v>
      </c>
      <c r="K178" s="69" t="s">
        <v>1369</v>
      </c>
      <c r="L178" s="65" t="s">
        <v>437</v>
      </c>
      <c r="M178" s="65" t="s">
        <v>60</v>
      </c>
      <c r="N178" s="70" t="s">
        <v>51</v>
      </c>
      <c r="O178" s="66" t="s">
        <v>51</v>
      </c>
      <c r="P178" s="66" t="s">
        <v>40</v>
      </c>
      <c r="Q178" s="66">
        <v>13890</v>
      </c>
      <c r="R178" s="70" t="s">
        <v>41</v>
      </c>
      <c r="S178" s="18" t="s">
        <v>52</v>
      </c>
      <c r="T178" s="21" t="str">
        <f>VLOOKUP(C178,'[1]TABEL SMA'!$C$8:$D$343,2,0)</f>
        <v>SMA PRESTASI PRIMA</v>
      </c>
      <c r="U178" s="22" t="str">
        <f>IFERROR(VLOOKUP(Table11[[#This Row],[Nama]],'[1]TABEL BEASISWA'!$B$4:$D$202,2,FALSE),"TIDAK")</f>
        <v>TIDAK</v>
      </c>
      <c r="V178" s="23" t="str">
        <f>IFERROR(VLOOKUP(Table11[[#This Row],[Nama]],'[1]TABEL BEASISWA'!$B$4:$D$202,3,FALSE),"Tidak ada")</f>
        <v>Tidak ada</v>
      </c>
      <c r="W178" s="24" t="str">
        <f>IFERROR(VLOOKUP(Table11[[#This Row],[Nama]],'[1]TABEL BEASISWA'!$B$4:$E$202,4,FALSE)," ")</f>
        <v xml:space="preserve"> </v>
      </c>
      <c r="X178" s="25"/>
      <c r="Y178" s="25"/>
      <c r="Z178" s="26"/>
      <c r="AA178" s="25"/>
      <c r="AB178" s="25"/>
      <c r="AC178" s="130">
        <v>1001002</v>
      </c>
      <c r="AD178" s="130">
        <v>327607</v>
      </c>
      <c r="AE178" s="130"/>
      <c r="AF178" s="130" t="s">
        <v>2346</v>
      </c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</row>
    <row r="179" spans="1:872" s="71" customFormat="1">
      <c r="A179" s="61">
        <f t="shared" si="2"/>
        <v>178</v>
      </c>
      <c r="B179" s="62">
        <v>2230124180</v>
      </c>
      <c r="C179" s="63" t="s">
        <v>1370</v>
      </c>
      <c r="D179" s="63" t="s">
        <v>1371</v>
      </c>
      <c r="E179" s="65" t="s">
        <v>1372</v>
      </c>
      <c r="F179" s="66" t="s">
        <v>32</v>
      </c>
      <c r="G179" s="67" t="s">
        <v>1373</v>
      </c>
      <c r="H179" s="68" t="s">
        <v>58</v>
      </c>
      <c r="I179" s="134">
        <v>37669</v>
      </c>
      <c r="J179" s="66" t="s">
        <v>35</v>
      </c>
      <c r="K179" s="69" t="s">
        <v>1374</v>
      </c>
      <c r="L179" s="65" t="s">
        <v>60</v>
      </c>
      <c r="M179" s="65" t="s">
        <v>437</v>
      </c>
      <c r="N179" s="70" t="s">
        <v>1375</v>
      </c>
      <c r="O179" s="66" t="s">
        <v>1375</v>
      </c>
      <c r="P179" s="66" t="s">
        <v>349</v>
      </c>
      <c r="Q179" s="66">
        <v>16418</v>
      </c>
      <c r="R179" s="70" t="s">
        <v>41</v>
      </c>
      <c r="S179" s="18" t="s">
        <v>52</v>
      </c>
      <c r="T179" s="21" t="str">
        <f>VLOOKUP(C179,'[1]TABEL SMA'!$C$8:$D$343,2,0)</f>
        <v>SMAIT NURUL FIKRI</v>
      </c>
      <c r="U179" s="22" t="str">
        <f>IFERROR(VLOOKUP(Table11[[#This Row],[Nama]],'[1]TABEL BEASISWA'!$B$4:$D$202,2,FALSE),"TIDAK")</f>
        <v>TIDAK</v>
      </c>
      <c r="V179" s="23" t="str">
        <f>IFERROR(VLOOKUP(Table11[[#This Row],[Nama]],'[1]TABEL BEASISWA'!$B$4:$D$202,3,FALSE),"Tidak ada")</f>
        <v>Tidak ada</v>
      </c>
      <c r="W179" s="24" t="str">
        <f>IFERROR(VLOOKUP(Table11[[#This Row],[Nama]],'[1]TABEL BEASISWA'!$B$4:$E$202,4,FALSE)," ")</f>
        <v xml:space="preserve"> </v>
      </c>
      <c r="X179" s="25"/>
      <c r="Y179" s="25"/>
      <c r="Z179" s="26"/>
      <c r="AA179" s="25"/>
      <c r="AB179" s="25"/>
      <c r="AC179" s="130">
        <v>1001001</v>
      </c>
      <c r="AD179" s="130">
        <v>327605</v>
      </c>
      <c r="AE179" s="130">
        <v>3276051005</v>
      </c>
      <c r="AF179" s="130" t="s">
        <v>2346</v>
      </c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</row>
    <row r="180" spans="1:872" s="71" customFormat="1" ht="28">
      <c r="A180" s="61">
        <f t="shared" si="2"/>
        <v>179</v>
      </c>
      <c r="B180" s="62">
        <v>2230124181</v>
      </c>
      <c r="C180" s="63" t="s">
        <v>1376</v>
      </c>
      <c r="D180" s="64" t="s">
        <v>1377</v>
      </c>
      <c r="E180" s="65" t="s">
        <v>1378</v>
      </c>
      <c r="F180" s="66" t="s">
        <v>67</v>
      </c>
      <c r="G180" s="67" t="s">
        <v>1379</v>
      </c>
      <c r="H180" s="68" t="s">
        <v>1380</v>
      </c>
      <c r="I180" s="134">
        <v>38180</v>
      </c>
      <c r="J180" s="66" t="s">
        <v>35</v>
      </c>
      <c r="K180" s="69" t="s">
        <v>1381</v>
      </c>
      <c r="L180" s="65" t="s">
        <v>437</v>
      </c>
      <c r="M180" s="65" t="s">
        <v>143</v>
      </c>
      <c r="N180" s="70" t="s">
        <v>1258</v>
      </c>
      <c r="O180" s="66" t="s">
        <v>1258</v>
      </c>
      <c r="P180" s="66" t="s">
        <v>1261</v>
      </c>
      <c r="Q180" s="66">
        <v>31512</v>
      </c>
      <c r="R180" s="70" t="s">
        <v>41</v>
      </c>
      <c r="S180" s="18" t="s">
        <v>263</v>
      </c>
      <c r="T180" s="21" t="str">
        <f>VLOOKUP(C180,'[1]TABEL SMA'!$C$8:$D$343,2,0)</f>
        <v>SMAN 1 PAGAR ALAM</v>
      </c>
      <c r="U180" s="22" t="str">
        <f>IFERROR(VLOOKUP(Table11[[#This Row],[Nama]],'[1]TABEL BEASISWA'!$B$4:$D$202,2,FALSE),"TIDAK")</f>
        <v>YA</v>
      </c>
      <c r="V180" s="23" t="str">
        <f>IFERROR(VLOOKUP(Table11[[#This Row],[Nama]],'[1]TABEL BEASISWA'!$B$4:$D$202,3,FALSE),"Tidak ada")</f>
        <v>Beasiswa 50%, Berprestasi/Kurang Mampu</v>
      </c>
      <c r="W180" s="24" t="str">
        <f>IFERROR(VLOOKUP(Table11[[#This Row],[Nama]],'[1]TABEL BEASISWA'!$B$4:$E$202,4,FALSE)," ")</f>
        <v>Angkatan 4</v>
      </c>
      <c r="X180" s="25"/>
      <c r="Y180" s="25"/>
      <c r="Z180" s="26"/>
      <c r="AA180" s="25"/>
      <c r="AB180" s="25"/>
      <c r="AC180" s="130">
        <v>1001001</v>
      </c>
      <c r="AD180" s="130">
        <v>167201</v>
      </c>
      <c r="AE180" s="130">
        <v>1672011005</v>
      </c>
      <c r="AF180" s="130" t="s">
        <v>2346</v>
      </c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</row>
    <row r="181" spans="1:872" s="71" customFormat="1" ht="28">
      <c r="A181" s="61">
        <f t="shared" si="2"/>
        <v>180</v>
      </c>
      <c r="B181" s="62">
        <v>2230124183</v>
      </c>
      <c r="C181" s="63" t="s">
        <v>1382</v>
      </c>
      <c r="D181" s="64" t="s">
        <v>1383</v>
      </c>
      <c r="E181" s="65" t="s">
        <v>1384</v>
      </c>
      <c r="F181" s="66" t="s">
        <v>32</v>
      </c>
      <c r="G181" s="67" t="s">
        <v>1385</v>
      </c>
      <c r="H181" s="68" t="s">
        <v>104</v>
      </c>
      <c r="I181" s="134">
        <v>39106</v>
      </c>
      <c r="J181" s="66" t="s">
        <v>35</v>
      </c>
      <c r="K181" s="69" t="s">
        <v>1386</v>
      </c>
      <c r="L181" s="65" t="s">
        <v>37</v>
      </c>
      <c r="M181" s="65" t="s">
        <v>917</v>
      </c>
      <c r="N181" s="70" t="s">
        <v>693</v>
      </c>
      <c r="O181" s="66" t="s">
        <v>693</v>
      </c>
      <c r="P181" s="66" t="s">
        <v>693</v>
      </c>
      <c r="Q181" s="66"/>
      <c r="R181" s="70" t="s">
        <v>41</v>
      </c>
      <c r="S181" s="18" t="s">
        <v>52</v>
      </c>
      <c r="T181" s="21" t="str">
        <f>VLOOKUP(C181,'[1]TABEL SMA'!$C$8:$D$343,2,0)</f>
        <v>HOMESCHOOLING HSE</v>
      </c>
      <c r="U181" s="22" t="str">
        <f>IFERROR(VLOOKUP(Table11[[#This Row],[Nama]],'[1]TABEL BEASISWA'!$B$4:$D$202,2,FALSE),"TIDAK")</f>
        <v>YA</v>
      </c>
      <c r="V181" s="23" t="str">
        <f>IFERROR(VLOOKUP(Table11[[#This Row],[Nama]],'[1]TABEL BEASISWA'!$B$4:$D$202,3,FALSE),"Tidak ada")</f>
        <v>Beasiswa 20%, Berprestasi/Kurang Mampu</v>
      </c>
      <c r="W181" s="24" t="str">
        <f>IFERROR(VLOOKUP(Table11[[#This Row],[Nama]],'[1]TABEL BEASISWA'!$B$4:$E$202,4,FALSE)," ")</f>
        <v>Angkatan 4</v>
      </c>
      <c r="X181" s="25"/>
      <c r="Y181" s="25"/>
      <c r="Z181" s="26"/>
      <c r="AA181" s="25"/>
      <c r="AB181" s="25"/>
      <c r="AC181" s="130">
        <v>1001001</v>
      </c>
      <c r="AD181" s="130">
        <v>327510</v>
      </c>
      <c r="AE181" s="130">
        <v>3275101001</v>
      </c>
      <c r="AF181" s="130" t="s">
        <v>2346</v>
      </c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</row>
    <row r="182" spans="1:872" s="71" customFormat="1" ht="28">
      <c r="A182" s="61">
        <f t="shared" ref="A182:A197" si="3">A181+1</f>
        <v>181</v>
      </c>
      <c r="B182" s="62">
        <v>2230124182</v>
      </c>
      <c r="C182" s="63" t="s">
        <v>1387</v>
      </c>
      <c r="D182" s="64" t="s">
        <v>1388</v>
      </c>
      <c r="E182" s="66">
        <v>9997477308</v>
      </c>
      <c r="F182" s="66" t="s">
        <v>32</v>
      </c>
      <c r="G182" s="67" t="s">
        <v>1389</v>
      </c>
      <c r="H182" s="68" t="s">
        <v>58</v>
      </c>
      <c r="I182" s="134">
        <v>36141</v>
      </c>
      <c r="J182" s="66" t="s">
        <v>35</v>
      </c>
      <c r="K182" s="69" t="s">
        <v>1390</v>
      </c>
      <c r="L182" s="65" t="s">
        <v>49</v>
      </c>
      <c r="M182" s="65" t="s">
        <v>37</v>
      </c>
      <c r="N182" s="70" t="s">
        <v>1084</v>
      </c>
      <c r="O182" s="66" t="s">
        <v>1084</v>
      </c>
      <c r="P182" s="66" t="s">
        <v>1084</v>
      </c>
      <c r="Q182" s="66">
        <v>16436</v>
      </c>
      <c r="R182" s="70" t="s">
        <v>41</v>
      </c>
      <c r="S182" s="18" t="s">
        <v>52</v>
      </c>
      <c r="T182" s="21" t="str">
        <f>VLOOKUP(C182,'[1]TABEL SMA'!$C$8:$D$343,2,0)</f>
        <v>SMA NEGERI 1 DEPOK</v>
      </c>
      <c r="U182" s="22" t="str">
        <f>IFERROR(VLOOKUP(Table11[[#This Row],[Nama]],'[1]TABEL BEASISWA'!$B$4:$D$202,2,FALSE),"TIDAK")</f>
        <v>YA</v>
      </c>
      <c r="V182" s="23" t="str">
        <f>IFERROR(VLOOKUP(Table11[[#This Row],[Nama]],'[1]TABEL BEASISWA'!$B$4:$D$202,3,FALSE),"Tidak ada")</f>
        <v>Beasiswa 70%, Berprestasi/Kurang Mampu</v>
      </c>
      <c r="W182" s="24" t="str">
        <f>IFERROR(VLOOKUP(Table11[[#This Row],[Nama]],'[1]TABEL BEASISWA'!$B$4:$E$202,4,FALSE)," ")</f>
        <v>Angkatan 4</v>
      </c>
      <c r="X182" s="25"/>
      <c r="Y182" s="25"/>
      <c r="Z182" s="26"/>
      <c r="AA182" s="25"/>
      <c r="AB182" s="25"/>
      <c r="AC182" s="130">
        <v>1001001</v>
      </c>
      <c r="AD182" s="130">
        <v>327601</v>
      </c>
      <c r="AE182" s="130">
        <v>3276011008</v>
      </c>
      <c r="AF182" s="130" t="s">
        <v>2346</v>
      </c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</row>
    <row r="183" spans="1:872" s="71" customFormat="1" ht="28">
      <c r="A183" s="61">
        <f t="shared" si="3"/>
        <v>182</v>
      </c>
      <c r="B183" s="66">
        <v>2230124153</v>
      </c>
      <c r="C183" s="63" t="s">
        <v>1391</v>
      </c>
      <c r="D183" s="63" t="s">
        <v>1195</v>
      </c>
      <c r="E183" s="65" t="s">
        <v>1392</v>
      </c>
      <c r="F183" s="66" t="s">
        <v>32</v>
      </c>
      <c r="G183" s="67" t="s">
        <v>1393</v>
      </c>
      <c r="H183" s="68" t="s">
        <v>1394</v>
      </c>
      <c r="I183" s="134">
        <v>38884</v>
      </c>
      <c r="J183" s="66" t="s">
        <v>1368</v>
      </c>
      <c r="K183" s="69" t="s">
        <v>1395</v>
      </c>
      <c r="L183" s="65" t="s">
        <v>60</v>
      </c>
      <c r="M183" s="65" t="s">
        <v>60</v>
      </c>
      <c r="N183" s="70" t="s">
        <v>1396</v>
      </c>
      <c r="O183" s="66" t="s">
        <v>1396</v>
      </c>
      <c r="P183" s="66" t="s">
        <v>1397</v>
      </c>
      <c r="Q183" s="66">
        <v>98533</v>
      </c>
      <c r="R183" s="70" t="s">
        <v>41</v>
      </c>
      <c r="S183" s="18" t="s">
        <v>1291</v>
      </c>
      <c r="T183" s="21" t="str">
        <f>VLOOKUP(C183,'[1]TABEL SMA'!$C$8:$D$343,2,0)</f>
        <v>SMA NEGERI 1 NUMFOR BARAT</v>
      </c>
      <c r="U183" s="22" t="str">
        <f>IFERROR(VLOOKUP(Table11[[#This Row],[Nama]],'[1]TABEL BEASISWA'!$B$4:$D$202,2,FALSE),"TIDAK")</f>
        <v>YA</v>
      </c>
      <c r="V183" s="23" t="str">
        <f>IFERROR(VLOOKUP(Table11[[#This Row],[Nama]],'[1]TABEL BEASISWA'!$B$4:$D$202,3,FALSE),"Tidak ada")</f>
        <v>Beasiswa 20%, Berprestasi/Kurang Mampu</v>
      </c>
      <c r="W183" s="24" t="str">
        <f>IFERROR(VLOOKUP(Table11[[#This Row],[Nama]],'[1]TABEL BEASISWA'!$B$4:$E$202,4,FALSE)," ")</f>
        <v>Angkatan 4</v>
      </c>
      <c r="X183" s="25"/>
      <c r="Y183" s="25"/>
      <c r="Z183" s="26"/>
      <c r="AA183" s="25"/>
      <c r="AB183" s="25"/>
      <c r="AC183" s="130">
        <v>1001002</v>
      </c>
      <c r="AD183" s="130">
        <v>910601</v>
      </c>
      <c r="AE183" s="130"/>
      <c r="AF183" s="130" t="s">
        <v>2348</v>
      </c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</row>
    <row r="184" spans="1:872" s="71" customFormat="1" ht="28">
      <c r="A184" s="61">
        <f t="shared" si="3"/>
        <v>183</v>
      </c>
      <c r="B184" s="72">
        <v>2230124135</v>
      </c>
      <c r="C184" s="63" t="s">
        <v>1398</v>
      </c>
      <c r="D184" s="63" t="s">
        <v>1399</v>
      </c>
      <c r="E184" s="65" t="s">
        <v>1400</v>
      </c>
      <c r="F184" s="66" t="s">
        <v>32</v>
      </c>
      <c r="G184" s="67" t="s">
        <v>1401</v>
      </c>
      <c r="H184" s="68" t="s">
        <v>1402</v>
      </c>
      <c r="I184" s="134">
        <v>38794</v>
      </c>
      <c r="J184" s="66" t="s">
        <v>1368</v>
      </c>
      <c r="K184" s="69" t="s">
        <v>1403</v>
      </c>
      <c r="L184" s="65" t="s">
        <v>79</v>
      </c>
      <c r="M184" s="65" t="s">
        <v>37</v>
      </c>
      <c r="N184" s="70" t="s">
        <v>676</v>
      </c>
      <c r="O184" s="66" t="s">
        <v>676</v>
      </c>
      <c r="P184" s="66" t="s">
        <v>678</v>
      </c>
      <c r="Q184" s="66">
        <v>99358</v>
      </c>
      <c r="R184" s="70" t="s">
        <v>41</v>
      </c>
      <c r="S184" s="18" t="s">
        <v>1291</v>
      </c>
      <c r="T184" s="21" t="str">
        <f>VLOOKUP(C184,'[1]TABEL SMA'!$C$8:$D$343,2,0)</f>
        <v>SMA KHATOLIK YOS SUDARSO BATU</v>
      </c>
      <c r="U184" s="22" t="str">
        <f>IFERROR(VLOOKUP(Table11[[#This Row],[Nama]],'[1]TABEL BEASISWA'!$B$4:$D$202,2,FALSE),"TIDAK")</f>
        <v>YA</v>
      </c>
      <c r="V184" s="23" t="str">
        <f>IFERROR(VLOOKUP(Table11[[#This Row],[Nama]],'[1]TABEL BEASISWA'!$B$4:$D$202,3,FALSE),"Tidak ada")</f>
        <v>Beasiswa 20%, Berprestasi/Kurang Mampu</v>
      </c>
      <c r="W184" s="24" t="str">
        <f>IFERROR(VLOOKUP(Table11[[#This Row],[Nama]],'[1]TABEL BEASISWA'!$B$4:$E$202,4,FALSE)," ")</f>
        <v>Angkatan 4</v>
      </c>
      <c r="X184" s="25"/>
      <c r="Y184" s="25"/>
      <c r="Z184" s="26"/>
      <c r="AA184" s="25"/>
      <c r="AB184" s="25"/>
      <c r="AC184" s="130">
        <v>1001002</v>
      </c>
      <c r="AD184" s="130">
        <v>917105</v>
      </c>
      <c r="AE184" s="130"/>
      <c r="AF184" s="130" t="s">
        <v>2348</v>
      </c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</row>
    <row r="185" spans="1:872" s="71" customFormat="1" ht="28">
      <c r="A185" s="61">
        <f t="shared" si="3"/>
        <v>184</v>
      </c>
      <c r="B185" s="66">
        <v>2230124184</v>
      </c>
      <c r="C185" s="63" t="s">
        <v>1404</v>
      </c>
      <c r="D185" s="63" t="s">
        <v>1405</v>
      </c>
      <c r="E185" s="65" t="s">
        <v>1406</v>
      </c>
      <c r="F185" s="66" t="s">
        <v>67</v>
      </c>
      <c r="G185" s="68" t="s">
        <v>140</v>
      </c>
      <c r="H185" s="68" t="s">
        <v>454</v>
      </c>
      <c r="I185" s="134">
        <v>38350</v>
      </c>
      <c r="J185" s="66" t="s">
        <v>35</v>
      </c>
      <c r="K185" s="69" t="s">
        <v>1407</v>
      </c>
      <c r="L185" s="65" t="s">
        <v>37</v>
      </c>
      <c r="M185" s="65" t="s">
        <v>60</v>
      </c>
      <c r="N185" s="70" t="s">
        <v>1408</v>
      </c>
      <c r="O185" s="66" t="s">
        <v>1408</v>
      </c>
      <c r="P185" s="66" t="s">
        <v>526</v>
      </c>
      <c r="Q185" s="66">
        <v>17425</v>
      </c>
      <c r="R185" s="70" t="s">
        <v>41</v>
      </c>
      <c r="S185" s="18" t="s">
        <v>52</v>
      </c>
      <c r="T185" s="21" t="str">
        <f>VLOOKUP(C185,'[1]TABEL SMA'!$C$8:$D$343,2,0)</f>
        <v>SMAN 21 KOTA BEKASI</v>
      </c>
      <c r="U185" s="22" t="str">
        <f>IFERROR(VLOOKUP(Table11[[#This Row],[Nama]],'[1]TABEL BEASISWA'!$B$4:$D$202,2,FALSE),"TIDAK")</f>
        <v>YA</v>
      </c>
      <c r="V185" s="23" t="str">
        <f>IFERROR(VLOOKUP(Table11[[#This Row],[Nama]],'[1]TABEL BEASISWA'!$B$4:$D$202,3,FALSE),"Tidak ada")</f>
        <v>Beasiswa 50%, Berprestasi/Kurang Mampu</v>
      </c>
      <c r="W185" s="24" t="str">
        <f>IFERROR(VLOOKUP(Table11[[#This Row],[Nama]],'[1]TABEL BEASISWA'!$B$4:$E$202,4,FALSE)," ")</f>
        <v>Angkatan 4</v>
      </c>
      <c r="X185" s="25"/>
      <c r="Y185" s="25"/>
      <c r="Z185" s="26"/>
      <c r="AA185" s="25"/>
      <c r="AB185" s="25"/>
      <c r="AC185" s="130">
        <v>1001001</v>
      </c>
      <c r="AD185" s="130">
        <v>327509</v>
      </c>
      <c r="AE185" s="130">
        <v>3275091005</v>
      </c>
      <c r="AF185" s="130" t="s">
        <v>2346</v>
      </c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</row>
    <row r="186" spans="1:872" s="71" customFormat="1" ht="28">
      <c r="A186" s="61">
        <f t="shared" si="3"/>
        <v>185</v>
      </c>
      <c r="B186" s="66">
        <v>2230124186</v>
      </c>
      <c r="C186" s="63" t="s">
        <v>1409</v>
      </c>
      <c r="D186" s="63" t="s">
        <v>1410</v>
      </c>
      <c r="E186" s="66">
        <v>8812</v>
      </c>
      <c r="F186" s="66" t="s">
        <v>32</v>
      </c>
      <c r="G186" s="67" t="s">
        <v>1411</v>
      </c>
      <c r="H186" s="68" t="s">
        <v>213</v>
      </c>
      <c r="I186" s="134">
        <v>30924</v>
      </c>
      <c r="J186" s="66" t="s">
        <v>1368</v>
      </c>
      <c r="K186" s="69" t="s">
        <v>1412</v>
      </c>
      <c r="L186" s="65" t="s">
        <v>924</v>
      </c>
      <c r="M186" s="65" t="s">
        <v>79</v>
      </c>
      <c r="N186" s="70" t="s">
        <v>839</v>
      </c>
      <c r="O186" s="66" t="s">
        <v>839</v>
      </c>
      <c r="P186" s="66" t="s">
        <v>565</v>
      </c>
      <c r="Q186" s="66">
        <v>13560</v>
      </c>
      <c r="R186" s="70" t="s">
        <v>41</v>
      </c>
      <c r="S186" s="18" t="s">
        <v>52</v>
      </c>
      <c r="T186" s="21" t="str">
        <f>VLOOKUP(C186,'[1]TABEL SMA'!$C$8:$D$343,2,0)</f>
        <v>SMU NEGERI 1 BERASTAGI</v>
      </c>
      <c r="U186" s="22" t="str">
        <f>IFERROR(VLOOKUP(Table11[[#This Row],[Nama]],'[1]TABEL BEASISWA'!$B$4:$D$202,2,FALSE),"TIDAK")</f>
        <v>TIDAK</v>
      </c>
      <c r="V186" s="23" t="str">
        <f>IFERROR(VLOOKUP(Table11[[#This Row],[Nama]],'[1]TABEL BEASISWA'!$B$4:$D$202,3,FALSE),"Tidak ada")</f>
        <v>Tidak ada</v>
      </c>
      <c r="W186" s="24" t="str">
        <f>IFERROR(VLOOKUP(Table11[[#This Row],[Nama]],'[1]TABEL BEASISWA'!$B$4:$E$202,4,FALSE)," ")</f>
        <v xml:space="preserve"> </v>
      </c>
      <c r="X186" s="25"/>
      <c r="Y186" s="25"/>
      <c r="Z186" s="26"/>
      <c r="AA186" s="25"/>
      <c r="AB186" s="25"/>
      <c r="AC186" s="130">
        <v>1001002</v>
      </c>
      <c r="AD186" s="130">
        <v>317508</v>
      </c>
      <c r="AE186" s="130"/>
      <c r="AF186" s="130" t="s">
        <v>2346</v>
      </c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</row>
    <row r="187" spans="1:872" s="71" customFormat="1" ht="28">
      <c r="A187" s="61">
        <f t="shared" si="3"/>
        <v>186</v>
      </c>
      <c r="B187" s="66">
        <v>2230124187</v>
      </c>
      <c r="C187" s="73" t="s">
        <v>1413</v>
      </c>
      <c r="D187" s="63" t="s">
        <v>1414</v>
      </c>
      <c r="E187" s="65" t="s">
        <v>1415</v>
      </c>
      <c r="F187" s="66" t="s">
        <v>32</v>
      </c>
      <c r="G187" s="68"/>
      <c r="H187" s="68" t="s">
        <v>77</v>
      </c>
      <c r="I187" s="134">
        <v>37134</v>
      </c>
      <c r="J187" s="66" t="s">
        <v>35</v>
      </c>
      <c r="K187" s="69" t="s">
        <v>1416</v>
      </c>
      <c r="L187" s="65" t="s">
        <v>79</v>
      </c>
      <c r="M187" s="65" t="s">
        <v>50</v>
      </c>
      <c r="N187" s="70" t="s">
        <v>1417</v>
      </c>
      <c r="O187" s="66" t="s">
        <v>1417</v>
      </c>
      <c r="P187" s="66" t="s">
        <v>1418</v>
      </c>
      <c r="Q187" s="66">
        <v>16144</v>
      </c>
      <c r="R187" s="70" t="s">
        <v>41</v>
      </c>
      <c r="S187" s="18" t="s">
        <v>52</v>
      </c>
      <c r="T187" s="21" t="str">
        <f>VLOOKUP(C187,'[1]TABEL SMA'!$C$8:$D$343,2,0)</f>
        <v>SMK TARUNA TERPADU 1 BOGOR</v>
      </c>
      <c r="U187" s="22" t="str">
        <f>IFERROR(VLOOKUP(Table11[[#This Row],[Nama]],'[1]TABEL BEASISWA'!$B$4:$D$202,2,FALSE),"TIDAK")</f>
        <v>YA</v>
      </c>
      <c r="V187" s="23" t="str">
        <f>IFERROR(VLOOKUP(Table11[[#This Row],[Nama]],'[1]TABEL BEASISWA'!$B$4:$D$202,3,FALSE),"Tidak ada")</f>
        <v>Beasiswa 70%, Berprestasi/Kurang Mampu</v>
      </c>
      <c r="W187" s="24" t="str">
        <f>IFERROR(VLOOKUP(Table11[[#This Row],[Nama]],'[1]TABEL BEASISWA'!$B$4:$E$202,4,FALSE)," ")</f>
        <v>Angkatan 4</v>
      </c>
      <c r="X187" s="25"/>
      <c r="Y187" s="25"/>
      <c r="Z187" s="26"/>
      <c r="AA187" s="25"/>
      <c r="AB187" s="25"/>
      <c r="AC187" s="130">
        <v>1001001</v>
      </c>
      <c r="AD187" s="130">
        <v>327102</v>
      </c>
      <c r="AE187" s="130">
        <v>3271021003</v>
      </c>
      <c r="AF187" s="130" t="s">
        <v>2346</v>
      </c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</row>
    <row r="188" spans="1:872" s="71" customFormat="1" ht="28">
      <c r="A188" s="61">
        <f t="shared" si="3"/>
        <v>187</v>
      </c>
      <c r="B188" s="66">
        <v>2230124188</v>
      </c>
      <c r="C188" s="73" t="s">
        <v>1419</v>
      </c>
      <c r="D188" s="63" t="s">
        <v>1420</v>
      </c>
      <c r="E188" s="65" t="s">
        <v>1421</v>
      </c>
      <c r="F188" s="66" t="s">
        <v>67</v>
      </c>
      <c r="G188" s="67" t="s">
        <v>1422</v>
      </c>
      <c r="H188" s="68" t="s">
        <v>1423</v>
      </c>
      <c r="I188" s="134">
        <v>37573</v>
      </c>
      <c r="J188" s="66" t="s">
        <v>1424</v>
      </c>
      <c r="K188" s="69" t="s">
        <v>1425</v>
      </c>
      <c r="L188" s="65" t="s">
        <v>79</v>
      </c>
      <c r="M188" s="65" t="s">
        <v>79</v>
      </c>
      <c r="N188" s="70" t="s">
        <v>1426</v>
      </c>
      <c r="O188" s="66" t="s">
        <v>1426</v>
      </c>
      <c r="P188" s="66" t="s">
        <v>1427</v>
      </c>
      <c r="Q188" s="66">
        <v>28558</v>
      </c>
      <c r="R188" s="70" t="s">
        <v>41</v>
      </c>
      <c r="S188" s="18" t="s">
        <v>52</v>
      </c>
      <c r="T188" s="21" t="str">
        <f>VLOOKUP(C188,'[1]TABEL SMA'!$C$8:$D$343,2,0)</f>
        <v>SMK SWASTA YAPIM TARUNA TAMBUSAI</v>
      </c>
      <c r="U188" s="22" t="str">
        <f>IFERROR(VLOOKUP(Table11[[#This Row],[Nama]],'[1]TABEL BEASISWA'!$B$4:$D$202,2,FALSE),"TIDAK")</f>
        <v>YA</v>
      </c>
      <c r="V188" s="23" t="str">
        <f>IFERROR(VLOOKUP(Table11[[#This Row],[Nama]],'[1]TABEL BEASISWA'!$B$4:$D$202,3,FALSE),"Tidak ada")</f>
        <v>Beasiswa 50%, Berprestasi/Kurang Mampu</v>
      </c>
      <c r="W188" s="24" t="str">
        <f>IFERROR(VLOOKUP(Table11[[#This Row],[Nama]],'[1]TABEL BEASISWA'!$B$4:$E$202,4,FALSE)," ")</f>
        <v>Angkatan 4</v>
      </c>
      <c r="X188" s="25"/>
      <c r="Y188" s="25"/>
      <c r="Z188" s="26"/>
      <c r="AA188" s="25"/>
      <c r="AB188" s="25"/>
      <c r="AC188" s="130">
        <v>1001005</v>
      </c>
      <c r="AD188" s="130">
        <v>140604</v>
      </c>
      <c r="AE188" s="130">
        <v>1406042007</v>
      </c>
      <c r="AF188" s="130" t="s">
        <v>2346</v>
      </c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</row>
    <row r="189" spans="1:872" s="71" customFormat="1" ht="28">
      <c r="A189" s="61">
        <f t="shared" si="3"/>
        <v>188</v>
      </c>
      <c r="B189" s="66">
        <v>2230124189</v>
      </c>
      <c r="C189" s="73" t="s">
        <v>1428</v>
      </c>
      <c r="D189" s="63" t="s">
        <v>1429</v>
      </c>
      <c r="E189" s="66" t="s">
        <v>1430</v>
      </c>
      <c r="F189" s="66" t="s">
        <v>32</v>
      </c>
      <c r="G189" s="67" t="s">
        <v>1431</v>
      </c>
      <c r="H189" s="68" t="s">
        <v>213</v>
      </c>
      <c r="I189" s="134">
        <v>34215</v>
      </c>
      <c r="J189" s="66" t="s">
        <v>1432</v>
      </c>
      <c r="K189" s="69" t="s">
        <v>1433</v>
      </c>
      <c r="L189" s="65" t="s">
        <v>60</v>
      </c>
      <c r="M189" s="65" t="s">
        <v>858</v>
      </c>
      <c r="N189" s="70" t="s">
        <v>1434</v>
      </c>
      <c r="O189" s="66" t="s">
        <v>1434</v>
      </c>
      <c r="P189" s="66" t="s">
        <v>795</v>
      </c>
      <c r="Q189" s="66">
        <v>41312</v>
      </c>
      <c r="R189" s="70" t="s">
        <v>41</v>
      </c>
      <c r="S189" s="18" t="s">
        <v>458</v>
      </c>
      <c r="T189" s="21" t="str">
        <f>VLOOKUP(C189,'[1]TABEL SMA'!$C$8:$D$343,2,0)</f>
        <v>SMAN 3 KARAWANG</v>
      </c>
      <c r="U189" s="22" t="str">
        <f>IFERROR(VLOOKUP(Table11[[#This Row],[Nama]],'[1]TABEL BEASISWA'!$B$4:$D$202,2,FALSE),"TIDAK")</f>
        <v>YA</v>
      </c>
      <c r="V189" s="23" t="str">
        <f>IFERROR(VLOOKUP(Table11[[#This Row],[Nama]],'[1]TABEL BEASISWA'!$B$4:$D$202,3,FALSE),"Tidak ada")</f>
        <v>Beasiswa 50%, Berprestasi/Kurang Mampu</v>
      </c>
      <c r="W189" s="24" t="str">
        <f>IFERROR(VLOOKUP(Table11[[#This Row],[Nama]],'[1]TABEL BEASISWA'!$B$4:$E$202,4,FALSE)," ")</f>
        <v>Angkatan 4</v>
      </c>
      <c r="X189" s="25"/>
      <c r="Y189" s="25"/>
      <c r="Z189" s="26"/>
      <c r="AA189" s="25"/>
      <c r="AB189" s="25"/>
      <c r="AC189" s="130">
        <v>1001004</v>
      </c>
      <c r="AD189" s="130">
        <v>321501</v>
      </c>
      <c r="AE189" s="130"/>
      <c r="AF189" s="130" t="s">
        <v>2348</v>
      </c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</row>
    <row r="190" spans="1:872" s="71" customFormat="1" ht="56">
      <c r="A190" s="61">
        <f t="shared" si="3"/>
        <v>189</v>
      </c>
      <c r="B190" s="66">
        <v>2230124190</v>
      </c>
      <c r="C190" s="73" t="s">
        <v>1435</v>
      </c>
      <c r="D190" s="63" t="s">
        <v>1436</v>
      </c>
      <c r="E190" s="65" t="s">
        <v>1437</v>
      </c>
      <c r="F190" s="66" t="s">
        <v>32</v>
      </c>
      <c r="G190" s="67" t="s">
        <v>1438</v>
      </c>
      <c r="H190" s="68" t="s">
        <v>769</v>
      </c>
      <c r="I190" s="134">
        <v>27833</v>
      </c>
      <c r="J190" s="66" t="s">
        <v>35</v>
      </c>
      <c r="K190" s="69" t="s">
        <v>1439</v>
      </c>
      <c r="L190" s="65" t="s">
        <v>169</v>
      </c>
      <c r="M190" s="65" t="s">
        <v>61</v>
      </c>
      <c r="N190" s="70" t="s">
        <v>1011</v>
      </c>
      <c r="O190" s="66" t="s">
        <v>1011</v>
      </c>
      <c r="P190" s="66" t="s">
        <v>1011</v>
      </c>
      <c r="Q190" s="66">
        <v>12620</v>
      </c>
      <c r="R190" s="70" t="s">
        <v>41</v>
      </c>
      <c r="S190" s="18" t="s">
        <v>52</v>
      </c>
      <c r="T190" s="21" t="str">
        <f>VLOOKUP(C190,'[1]TABEL SMA'!$C$8:$D$343,2,0)</f>
        <v>SMAN 1 PURBALINGGA, PURBALINGGA, JAWA TENGAH</v>
      </c>
      <c r="U190" s="22" t="str">
        <f>IFERROR(VLOOKUP(Table11[[#This Row],[Nama]],'[1]TABEL BEASISWA'!$B$4:$D$202,2,FALSE),"TIDAK")</f>
        <v>TIDAK</v>
      </c>
      <c r="V190" s="23" t="str">
        <f>IFERROR(VLOOKUP(Table11[[#This Row],[Nama]],'[1]TABEL BEASISWA'!$B$4:$D$202,3,FALSE),"Tidak ada")</f>
        <v>Tidak ada</v>
      </c>
      <c r="W190" s="24" t="str">
        <f>IFERROR(VLOOKUP(Table11[[#This Row],[Nama]],'[1]TABEL BEASISWA'!$B$4:$E$202,4,FALSE)," ")</f>
        <v xml:space="preserve"> </v>
      </c>
      <c r="X190" s="25"/>
      <c r="Y190" s="25"/>
      <c r="Z190" s="26"/>
      <c r="AA190" s="25"/>
      <c r="AB190" s="25"/>
      <c r="AC190" s="130">
        <v>1001001</v>
      </c>
      <c r="AD190" s="130">
        <v>317409</v>
      </c>
      <c r="AE190" s="130">
        <v>3174091001</v>
      </c>
      <c r="AF190" s="130" t="s">
        <v>2346</v>
      </c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</row>
    <row r="191" spans="1:872" s="71" customFormat="1" ht="28">
      <c r="A191" s="61">
        <f t="shared" si="3"/>
        <v>190</v>
      </c>
      <c r="B191" s="66">
        <v>2230124191</v>
      </c>
      <c r="C191" s="73" t="s">
        <v>1440</v>
      </c>
      <c r="D191" s="63" t="s">
        <v>1441</v>
      </c>
      <c r="E191" s="65" t="s">
        <v>1442</v>
      </c>
      <c r="F191" s="66" t="s">
        <v>67</v>
      </c>
      <c r="G191" s="67" t="s">
        <v>1443</v>
      </c>
      <c r="H191" s="68" t="s">
        <v>141</v>
      </c>
      <c r="I191" s="134">
        <v>38526</v>
      </c>
      <c r="J191" s="66" t="s">
        <v>35</v>
      </c>
      <c r="K191" s="69" t="s">
        <v>1444</v>
      </c>
      <c r="L191" s="65" t="s">
        <v>1445</v>
      </c>
      <c r="M191" s="65" t="s">
        <v>572</v>
      </c>
      <c r="N191" s="70" t="s">
        <v>1446</v>
      </c>
      <c r="O191" s="66" t="s">
        <v>1446</v>
      </c>
      <c r="P191" s="66" t="s">
        <v>1447</v>
      </c>
      <c r="Q191" s="66">
        <v>28464</v>
      </c>
      <c r="R191" s="70" t="s">
        <v>41</v>
      </c>
      <c r="S191" s="18" t="s">
        <v>41</v>
      </c>
      <c r="T191" s="21" t="str">
        <f>VLOOKUP(C191,'[1]TABEL SMA'!$C$8:$D$343,2,0)</f>
        <v>SMA NEGERI 12 PEKANBARU</v>
      </c>
      <c r="U191" s="22" t="str">
        <f>IFERROR(VLOOKUP(Table11[[#This Row],[Nama]],'[1]TABEL BEASISWA'!$B$4:$D$202,2,FALSE),"TIDAK")</f>
        <v>TIDAK</v>
      </c>
      <c r="V191" s="23" t="str">
        <f>IFERROR(VLOOKUP(Table11[[#This Row],[Nama]],'[1]TABEL BEASISWA'!$B$4:$D$202,3,FALSE),"Tidak ada")</f>
        <v>Tidak ada</v>
      </c>
      <c r="W191" s="24" t="str">
        <f>IFERROR(VLOOKUP(Table11[[#This Row],[Nama]],'[1]TABEL BEASISWA'!$B$4:$E$202,4,FALSE)," ")</f>
        <v xml:space="preserve"> </v>
      </c>
      <c r="X191" s="25"/>
      <c r="Y191" s="25"/>
      <c r="Z191" s="26"/>
      <c r="AA191" s="25"/>
      <c r="AB191" s="25"/>
      <c r="AC191" s="130">
        <v>1001001</v>
      </c>
      <c r="AD191" s="130">
        <v>140110</v>
      </c>
      <c r="AE191" s="130">
        <v>1401102021</v>
      </c>
      <c r="AF191" s="130" t="s">
        <v>2348</v>
      </c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</row>
    <row r="192" spans="1:872" s="71" customFormat="1" ht="28">
      <c r="A192" s="61">
        <f t="shared" si="3"/>
        <v>191</v>
      </c>
      <c r="B192" s="66">
        <v>2230124192</v>
      </c>
      <c r="C192" s="73" t="s">
        <v>1448</v>
      </c>
      <c r="D192" s="63" t="s">
        <v>1449</v>
      </c>
      <c r="E192" s="65" t="s">
        <v>1450</v>
      </c>
      <c r="F192" s="66" t="s">
        <v>67</v>
      </c>
      <c r="G192" s="67" t="s">
        <v>1451</v>
      </c>
      <c r="H192" s="68" t="s">
        <v>34</v>
      </c>
      <c r="I192" s="134">
        <v>37718</v>
      </c>
      <c r="J192" s="66" t="s">
        <v>35</v>
      </c>
      <c r="K192" s="69" t="s">
        <v>1452</v>
      </c>
      <c r="L192" s="65" t="s">
        <v>338</v>
      </c>
      <c r="M192" s="65" t="s">
        <v>60</v>
      </c>
      <c r="N192" s="70" t="s">
        <v>1453</v>
      </c>
      <c r="O192" s="66" t="s">
        <v>1453</v>
      </c>
      <c r="P192" s="66" t="s">
        <v>1453</v>
      </c>
      <c r="Q192" s="66">
        <v>10540</v>
      </c>
      <c r="R192" s="70" t="s">
        <v>41</v>
      </c>
      <c r="S192" s="18" t="s">
        <v>263</v>
      </c>
      <c r="T192" s="21" t="str">
        <f>VLOOKUP(C192,'[1]TABEL SMA'!$C$8:$D$343,2,0)</f>
        <v>SMA PERGURUAN KSATRYA</v>
      </c>
      <c r="U192" s="22" t="str">
        <f>IFERROR(VLOOKUP(Table11[[#This Row],[Nama]],'[1]TABEL BEASISWA'!$B$4:$D$202,2,FALSE),"TIDAK")</f>
        <v>TIDAK</v>
      </c>
      <c r="V192" s="23" t="str">
        <f>IFERROR(VLOOKUP(Table11[[#This Row],[Nama]],'[1]TABEL BEASISWA'!$B$4:$D$202,3,FALSE),"Tidak ada")</f>
        <v>Tidak ada</v>
      </c>
      <c r="W192" s="24" t="str">
        <f>IFERROR(VLOOKUP(Table11[[#This Row],[Nama]],'[1]TABEL BEASISWA'!$B$4:$E$202,4,FALSE)," ")</f>
        <v xml:space="preserve"> </v>
      </c>
      <c r="X192" s="25"/>
      <c r="Y192" s="25"/>
      <c r="Z192" s="26"/>
      <c r="AA192" s="25"/>
      <c r="AB192" s="25"/>
      <c r="AC192" s="130">
        <v>1001001</v>
      </c>
      <c r="AD192" s="130">
        <v>317108</v>
      </c>
      <c r="AE192" s="130">
        <v>3171081001</v>
      </c>
      <c r="AF192" s="130" t="s">
        <v>2346</v>
      </c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</row>
    <row r="193" spans="1:872" s="71" customFormat="1" ht="28">
      <c r="A193" s="61">
        <f t="shared" si="3"/>
        <v>192</v>
      </c>
      <c r="B193" s="66">
        <v>2230124193</v>
      </c>
      <c r="C193" s="73" t="s">
        <v>1454</v>
      </c>
      <c r="D193" s="63" t="s">
        <v>1455</v>
      </c>
      <c r="E193" s="66">
        <v>9991841765</v>
      </c>
      <c r="F193" s="66" t="s">
        <v>67</v>
      </c>
      <c r="G193" s="67" t="s">
        <v>1456</v>
      </c>
      <c r="H193" s="68" t="s">
        <v>1164</v>
      </c>
      <c r="I193" s="134">
        <v>36313</v>
      </c>
      <c r="J193" s="66" t="s">
        <v>35</v>
      </c>
      <c r="K193" s="69" t="s">
        <v>1457</v>
      </c>
      <c r="L193" s="65" t="s">
        <v>1043</v>
      </c>
      <c r="M193" s="65" t="s">
        <v>1043</v>
      </c>
      <c r="N193" s="70" t="s">
        <v>1458</v>
      </c>
      <c r="O193" s="66" t="s">
        <v>1458</v>
      </c>
      <c r="P193" s="66" t="s">
        <v>1459</v>
      </c>
      <c r="Q193" s="66">
        <v>24651</v>
      </c>
      <c r="R193" s="70" t="s">
        <v>41</v>
      </c>
      <c r="S193" s="18" t="s">
        <v>458</v>
      </c>
      <c r="T193" s="21" t="str">
        <f>VLOOKUP(C193,'[1]TABEL SMA'!$C$8:$D$343,2,0)</f>
        <v xml:space="preserve">SMA NEGERI PERISAI KUTACANE </v>
      </c>
      <c r="U193" s="22" t="str">
        <f>IFERROR(VLOOKUP(Table11[[#This Row],[Nama]],'[1]TABEL BEASISWA'!$B$4:$D$202,2,FALSE),"TIDAK")</f>
        <v>YA</v>
      </c>
      <c r="V193" s="23" t="str">
        <f>IFERROR(VLOOKUP(Table11[[#This Row],[Nama]],'[1]TABEL BEASISWA'!$B$4:$D$202,3,FALSE),"Tidak ada")</f>
        <v>Beasiswa 70%, Berprestasi/Kurang Mampu</v>
      </c>
      <c r="W193" s="24" t="str">
        <f>IFERROR(VLOOKUP(Table11[[#This Row],[Nama]],'[1]TABEL BEASISWA'!$B$4:$E$202,4,FALSE)," ")</f>
        <v>Angkatan 4</v>
      </c>
      <c r="X193" s="25"/>
      <c r="Y193" s="25"/>
      <c r="Z193" s="26"/>
      <c r="AA193" s="25"/>
      <c r="AB193" s="25"/>
      <c r="AC193" s="130">
        <v>1001001</v>
      </c>
      <c r="AD193" s="130">
        <v>110209</v>
      </c>
      <c r="AE193" s="130"/>
      <c r="AF193" s="130" t="s">
        <v>2348</v>
      </c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</row>
    <row r="194" spans="1:872" s="71" customFormat="1" ht="28">
      <c r="A194" s="61">
        <f t="shared" si="3"/>
        <v>193</v>
      </c>
      <c r="B194" s="66">
        <v>2230124194</v>
      </c>
      <c r="C194" s="73" t="s">
        <v>1460</v>
      </c>
      <c r="D194" s="63" t="s">
        <v>1461</v>
      </c>
      <c r="E194" s="66">
        <v>9960658067</v>
      </c>
      <c r="F194" s="66" t="s">
        <v>32</v>
      </c>
      <c r="G194" s="67" t="s">
        <v>1462</v>
      </c>
      <c r="H194" s="68" t="s">
        <v>1463</v>
      </c>
      <c r="I194" s="134">
        <v>35354</v>
      </c>
      <c r="J194" s="66" t="s">
        <v>35</v>
      </c>
      <c r="K194" s="69" t="s">
        <v>1464</v>
      </c>
      <c r="L194" s="65" t="s">
        <v>37</v>
      </c>
      <c r="M194" s="65" t="s">
        <v>143</v>
      </c>
      <c r="N194" s="70" t="s">
        <v>1465</v>
      </c>
      <c r="O194" s="66" t="s">
        <v>1465</v>
      </c>
      <c r="P194" s="66" t="s">
        <v>1466</v>
      </c>
      <c r="Q194" s="66">
        <v>33112</v>
      </c>
      <c r="R194" s="70" t="s">
        <v>41</v>
      </c>
      <c r="S194" s="18" t="s">
        <v>52</v>
      </c>
      <c r="T194" s="21" t="str">
        <f>VLOOKUP(C194,'[1]TABEL SMA'!$C$8:$D$343,2,0)</f>
        <v>SMA N 1 PANGKALPINANG</v>
      </c>
      <c r="U194" s="22" t="str">
        <f>IFERROR(VLOOKUP(Table11[[#This Row],[Nama]],'[1]TABEL BEASISWA'!$B$4:$D$202,2,FALSE),"TIDAK")</f>
        <v>YA</v>
      </c>
      <c r="V194" s="23" t="str">
        <f>IFERROR(VLOOKUP(Table11[[#This Row],[Nama]],'[1]TABEL BEASISWA'!$B$4:$D$202,3,FALSE),"Tidak ada")</f>
        <v>Beasiswa 20%, Berprestasi/Kurang Mampu</v>
      </c>
      <c r="W194" s="24" t="str">
        <f>IFERROR(VLOOKUP(Table11[[#This Row],[Nama]],'[1]TABEL BEASISWA'!$B$4:$E$202,4,FALSE)," ")</f>
        <v>Angkatan 4</v>
      </c>
      <c r="X194" s="25"/>
      <c r="Y194" s="25"/>
      <c r="Z194" s="26"/>
      <c r="AA194" s="25"/>
      <c r="AB194" s="25"/>
      <c r="AC194" s="130">
        <v>1001001</v>
      </c>
      <c r="AD194" s="130">
        <v>197103</v>
      </c>
      <c r="AE194" s="130">
        <v>1971031008</v>
      </c>
      <c r="AF194" s="130" t="s">
        <v>2346</v>
      </c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</row>
    <row r="195" spans="1:872" s="71" customFormat="1">
      <c r="A195" s="61">
        <f t="shared" si="3"/>
        <v>194</v>
      </c>
      <c r="B195" s="66">
        <v>2230124195</v>
      </c>
      <c r="C195" s="73" t="s">
        <v>1467</v>
      </c>
      <c r="D195" s="63" t="s">
        <v>1468</v>
      </c>
      <c r="E195" s="65" t="s">
        <v>1469</v>
      </c>
      <c r="F195" s="66" t="s">
        <v>32</v>
      </c>
      <c r="G195" s="67" t="s">
        <v>1470</v>
      </c>
      <c r="H195" s="68" t="s">
        <v>1471</v>
      </c>
      <c r="I195" s="134">
        <v>38311</v>
      </c>
      <c r="J195" s="66" t="s">
        <v>35</v>
      </c>
      <c r="K195" s="69" t="s">
        <v>1472</v>
      </c>
      <c r="L195" s="65" t="s">
        <v>437</v>
      </c>
      <c r="M195" s="65" t="s">
        <v>169</v>
      </c>
      <c r="N195" s="70" t="s">
        <v>1473</v>
      </c>
      <c r="O195" s="66" t="s">
        <v>1473</v>
      </c>
      <c r="P195" s="66" t="s">
        <v>1474</v>
      </c>
      <c r="Q195" s="66"/>
      <c r="R195" s="70" t="s">
        <v>41</v>
      </c>
      <c r="S195" s="18" t="s">
        <v>52</v>
      </c>
      <c r="T195" s="21" t="str">
        <f>VLOOKUP(C195,'[1]TABEL SMA'!$C$8:$D$343,2,0)</f>
        <v>SMAN 20 BATAM</v>
      </c>
      <c r="U195" s="22" t="str">
        <f>IFERROR(VLOOKUP(Table11[[#This Row],[Nama]],'[1]TABEL BEASISWA'!$B$4:$D$202,2,FALSE),"TIDAK")</f>
        <v>TIDAK</v>
      </c>
      <c r="V195" s="23" t="str">
        <f>IFERROR(VLOOKUP(Table11[[#This Row],[Nama]],'[1]TABEL BEASISWA'!$B$4:$D$202,3,FALSE),"Tidak ada")</f>
        <v>Tidak ada</v>
      </c>
      <c r="W195" s="24" t="str">
        <f>IFERROR(VLOOKUP(Table11[[#This Row],[Nama]],'[1]TABEL BEASISWA'!$B$4:$E$202,4,FALSE)," ")</f>
        <v xml:space="preserve"> </v>
      </c>
      <c r="X195" s="25"/>
      <c r="Y195" s="25"/>
      <c r="Z195" s="26"/>
      <c r="AA195" s="25"/>
      <c r="AB195" s="25"/>
      <c r="AC195" s="130">
        <v>1001001</v>
      </c>
      <c r="AD195" s="130">
        <v>180104</v>
      </c>
      <c r="AE195" s="130">
        <v>1801042010</v>
      </c>
      <c r="AF195" s="130" t="s">
        <v>2346</v>
      </c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</row>
    <row r="196" spans="1:872" s="71" customFormat="1" ht="28">
      <c r="A196" s="61">
        <f t="shared" si="3"/>
        <v>195</v>
      </c>
      <c r="B196" s="66">
        <v>2230124196</v>
      </c>
      <c r="C196" s="63" t="s">
        <v>1475</v>
      </c>
      <c r="D196" s="63" t="s">
        <v>1476</v>
      </c>
      <c r="E196" s="66">
        <v>910003</v>
      </c>
      <c r="F196" s="66" t="s">
        <v>32</v>
      </c>
      <c r="G196" s="68"/>
      <c r="H196" s="68" t="s">
        <v>1477</v>
      </c>
      <c r="I196" s="135">
        <v>25755</v>
      </c>
      <c r="J196" s="66" t="s">
        <v>35</v>
      </c>
      <c r="K196" s="69" t="s">
        <v>1478</v>
      </c>
      <c r="L196" s="65" t="s">
        <v>61</v>
      </c>
      <c r="M196" s="65" t="s">
        <v>169</v>
      </c>
      <c r="N196" s="70" t="s">
        <v>1479</v>
      </c>
      <c r="O196" s="66" t="s">
        <v>1479</v>
      </c>
      <c r="P196" s="66" t="s">
        <v>1480</v>
      </c>
      <c r="Q196" s="65" t="s">
        <v>1481</v>
      </c>
      <c r="R196" s="70" t="s">
        <v>41</v>
      </c>
      <c r="S196" s="18" t="s">
        <v>52</v>
      </c>
      <c r="T196" s="21" t="str">
        <f>VLOOKUP(C196,'[1]TABEL SMA'!$C$8:$D$343,2,0)</f>
        <v>SMA NEGERI 2 BANYUWANGI</v>
      </c>
      <c r="U196" s="22" t="str">
        <f>IFERROR(VLOOKUP(Table11[[#This Row],[Nama]],'[1]TABEL BEASISWA'!$B$4:$D$202,2,FALSE),"TIDAK")</f>
        <v>YA</v>
      </c>
      <c r="V196" s="23" t="str">
        <f>IFERROR(VLOOKUP(Table11[[#This Row],[Nama]],'[1]TABEL BEASISWA'!$B$4:$D$202,3,FALSE),"Tidak ada")</f>
        <v>Beasiswa 100%, Umum</v>
      </c>
      <c r="W196" s="24" t="str">
        <f>IFERROR(VLOOKUP(Table11[[#This Row],[Nama]],'[1]TABEL BEASISWA'!$B$4:$E$202,4,FALSE)," ")</f>
        <v>Angkatan 4</v>
      </c>
      <c r="X196" s="25"/>
      <c r="Y196" s="25"/>
      <c r="Z196" s="26"/>
      <c r="AA196" s="25"/>
      <c r="AB196" s="25"/>
      <c r="AC196" s="130">
        <v>1001001</v>
      </c>
      <c r="AD196" s="130">
        <v>327319</v>
      </c>
      <c r="AE196" s="130">
        <v>3273191002</v>
      </c>
      <c r="AF196" s="130" t="s">
        <v>2346</v>
      </c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</row>
    <row r="197" spans="1:872" s="71" customFormat="1" ht="28">
      <c r="A197" s="10">
        <f t="shared" si="3"/>
        <v>196</v>
      </c>
      <c r="B197" s="22">
        <v>2230124197</v>
      </c>
      <c r="C197" s="58" t="s">
        <v>1482</v>
      </c>
      <c r="D197" s="58" t="s">
        <v>1483</v>
      </c>
      <c r="E197" s="19">
        <v>6685</v>
      </c>
      <c r="F197" s="19" t="s">
        <v>32</v>
      </c>
      <c r="G197" s="27" t="s">
        <v>1484</v>
      </c>
      <c r="H197" s="12" t="s">
        <v>213</v>
      </c>
      <c r="I197" s="133">
        <v>25672</v>
      </c>
      <c r="J197" s="19" t="s">
        <v>35</v>
      </c>
      <c r="K197" s="17" t="s">
        <v>1485</v>
      </c>
      <c r="L197" s="11" t="s">
        <v>917</v>
      </c>
      <c r="M197" s="11" t="s">
        <v>572</v>
      </c>
      <c r="N197" s="18" t="s">
        <v>1486</v>
      </c>
      <c r="O197" s="19" t="s">
        <v>1486</v>
      </c>
      <c r="P197" s="19" t="s">
        <v>1487</v>
      </c>
      <c r="Q197" s="74" t="s">
        <v>1488</v>
      </c>
      <c r="R197" s="18" t="s">
        <v>41</v>
      </c>
      <c r="S197" s="18" t="s">
        <v>52</v>
      </c>
      <c r="T197" s="21" t="str">
        <f>VLOOKUP(C197,'[1]TABEL SMA'!$C$8:$D$343,2,0)</f>
        <v>SMU ADABIAH SUMATERA BARAT</v>
      </c>
      <c r="U197" s="22" t="str">
        <f>IFERROR(VLOOKUP(Table11[[#This Row],[Nama]],'[1]TABEL BEASISWA'!$B$4:$D$202,2,FALSE),"TIDAK")</f>
        <v>TIDAK</v>
      </c>
      <c r="V197" s="23" t="str">
        <f>IFERROR(VLOOKUP(Table11[[#This Row],[Nama]],'[1]TABEL BEASISWA'!$B$4:$D$202,3,FALSE),"Tidak ada")</f>
        <v>Tidak ada</v>
      </c>
      <c r="W197" s="24" t="str">
        <f>IFERROR(VLOOKUP(Table11[[#This Row],[Nama]],'[1]TABEL BEASISWA'!$B$4:$E$202,4,FALSE)," ")</f>
        <v xml:space="preserve"> </v>
      </c>
      <c r="X197" s="25"/>
      <c r="Y197" s="25"/>
      <c r="Z197" s="26"/>
      <c r="AA197" s="25"/>
      <c r="AB197" s="25"/>
      <c r="AC197" s="130">
        <v>1001001</v>
      </c>
      <c r="AD197" s="130">
        <v>161205</v>
      </c>
      <c r="AE197" s="130"/>
      <c r="AF197" s="130" t="s">
        <v>2346</v>
      </c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</row>
    <row r="198" spans="1:872" s="71" customFormat="1" ht="28">
      <c r="A198" s="10">
        <f t="shared" ref="A198:B213" si="4">A197+1</f>
        <v>197</v>
      </c>
      <c r="B198" s="22">
        <v>2230124198</v>
      </c>
      <c r="C198" s="58" t="s">
        <v>1489</v>
      </c>
      <c r="D198" s="58" t="s">
        <v>1490</v>
      </c>
      <c r="E198" s="19"/>
      <c r="F198" s="19" t="s">
        <v>32</v>
      </c>
      <c r="G198" s="27" t="s">
        <v>1491</v>
      </c>
      <c r="H198" s="12" t="s">
        <v>34</v>
      </c>
      <c r="I198" s="133">
        <v>25547</v>
      </c>
      <c r="J198" s="19" t="s">
        <v>35</v>
      </c>
      <c r="K198" s="17" t="s">
        <v>1492</v>
      </c>
      <c r="L198" s="11" t="s">
        <v>480</v>
      </c>
      <c r="M198" s="11" t="s">
        <v>61</v>
      </c>
      <c r="N198" s="18" t="s">
        <v>1493</v>
      </c>
      <c r="O198" s="19" t="s">
        <v>1493</v>
      </c>
      <c r="P198" s="19" t="s">
        <v>1494</v>
      </c>
      <c r="Q198" s="22"/>
      <c r="R198" s="18" t="s">
        <v>41</v>
      </c>
      <c r="S198" s="18" t="s">
        <v>52</v>
      </c>
      <c r="T198" s="21" t="str">
        <f>VLOOKUP(C198,'[1]TABEL SMA'!$C$8:$D$343,2,0)</f>
        <v>SMA SWASTA SANTO YOSEPH</v>
      </c>
      <c r="U198" s="22" t="str">
        <f>IFERROR(VLOOKUP(Table11[[#This Row],[Nama]],'[1]TABEL BEASISWA'!$B$4:$D$202,2,FALSE),"TIDAK")</f>
        <v>TIDAK</v>
      </c>
      <c r="V198" s="23" t="str">
        <f>IFERROR(VLOOKUP(Table11[[#This Row],[Nama]],'[1]TABEL BEASISWA'!$B$4:$D$202,3,FALSE),"Tidak ada")</f>
        <v>Tidak ada</v>
      </c>
      <c r="W198" s="24" t="str">
        <f>IFERROR(VLOOKUP(Table11[[#This Row],[Nama]],'[1]TABEL BEASISWA'!$B$4:$E$202,4,FALSE)," ")</f>
        <v xml:space="preserve"> </v>
      </c>
      <c r="X198" s="25"/>
      <c r="Y198" s="25"/>
      <c r="Z198" s="26"/>
      <c r="AA198" s="25"/>
      <c r="AB198" s="25"/>
      <c r="AC198" s="130">
        <v>1001001</v>
      </c>
      <c r="AD198" s="130">
        <v>317102</v>
      </c>
      <c r="AE198" s="130">
        <v>3171021004</v>
      </c>
      <c r="AF198" s="130" t="s">
        <v>2346</v>
      </c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</row>
    <row r="199" spans="1:872" ht="28">
      <c r="A199" s="10">
        <f t="shared" si="4"/>
        <v>198</v>
      </c>
      <c r="B199" s="22">
        <v>2230124199</v>
      </c>
      <c r="C199" s="58" t="s">
        <v>1495</v>
      </c>
      <c r="D199" s="58" t="s">
        <v>1496</v>
      </c>
      <c r="E199" s="19">
        <v>993</v>
      </c>
      <c r="F199" s="19" t="s">
        <v>32</v>
      </c>
      <c r="G199" s="27" t="s">
        <v>1497</v>
      </c>
      <c r="H199" s="12" t="s">
        <v>1498</v>
      </c>
      <c r="I199" s="133">
        <v>32423</v>
      </c>
      <c r="J199" s="19" t="s">
        <v>35</v>
      </c>
      <c r="K199" s="17" t="s">
        <v>1499</v>
      </c>
      <c r="L199" s="11" t="s">
        <v>143</v>
      </c>
      <c r="M199" s="11" t="s">
        <v>437</v>
      </c>
      <c r="N199" s="18" t="s">
        <v>1500</v>
      </c>
      <c r="O199" s="19" t="s">
        <v>1500</v>
      </c>
      <c r="P199" s="19" t="s">
        <v>1501</v>
      </c>
      <c r="Q199" s="74" t="s">
        <v>1502</v>
      </c>
      <c r="R199" s="18" t="s">
        <v>41</v>
      </c>
      <c r="S199" s="18" t="s">
        <v>458</v>
      </c>
      <c r="T199" s="21" t="str">
        <f>VLOOKUP(C199,'[1]TABEL SMA'!$C$8:$D$343,2,0)</f>
        <v>SMK SLAMET RIYADI GEMOLONG</v>
      </c>
      <c r="U199" s="22" t="str">
        <f>IFERROR(VLOOKUP(Table11[[#This Row],[Nama]],'[1]TABEL BEASISWA'!$B$4:$D$202,2,FALSE),"TIDAK")</f>
        <v>YA</v>
      </c>
      <c r="V199" s="23" t="str">
        <f>IFERROR(VLOOKUP(Table11[[#This Row],[Nama]],'[1]TABEL BEASISWA'!$B$4:$D$202,3,FALSE),"Tidak ada")</f>
        <v>Beasiswa 100%, Umum</v>
      </c>
      <c r="W199" s="24" t="str">
        <f>IFERROR(VLOOKUP(Table11[[#This Row],[Nama]],'[1]TABEL BEASISWA'!$B$4:$E$202,4,FALSE)," ")</f>
        <v>Angkatan 4</v>
      </c>
      <c r="X199" s="25"/>
      <c r="Y199" s="25"/>
      <c r="Z199" s="26"/>
      <c r="AA199" s="25"/>
      <c r="AB199" s="25"/>
      <c r="AC199" s="130">
        <v>1001001</v>
      </c>
      <c r="AD199" s="130"/>
      <c r="AE199" s="130"/>
      <c r="AF199" s="130" t="s">
        <v>2348</v>
      </c>
    </row>
    <row r="200" spans="1:872" ht="28">
      <c r="A200" s="10">
        <f t="shared" si="4"/>
        <v>199</v>
      </c>
      <c r="B200" s="22">
        <v>2230124200</v>
      </c>
      <c r="C200" s="58" t="s">
        <v>1503</v>
      </c>
      <c r="D200" s="58" t="s">
        <v>1504</v>
      </c>
      <c r="E200" s="11" t="s">
        <v>1505</v>
      </c>
      <c r="F200" s="19" t="s">
        <v>32</v>
      </c>
      <c r="G200" s="27" t="s">
        <v>1506</v>
      </c>
      <c r="H200" s="12" t="s">
        <v>409</v>
      </c>
      <c r="I200" s="133">
        <v>33731</v>
      </c>
      <c r="J200" s="19" t="s">
        <v>35</v>
      </c>
      <c r="K200" s="17" t="s">
        <v>1157</v>
      </c>
      <c r="L200" s="11" t="s">
        <v>79</v>
      </c>
      <c r="M200" s="11" t="s">
        <v>169</v>
      </c>
      <c r="N200" s="18" t="s">
        <v>1158</v>
      </c>
      <c r="O200" s="19" t="s">
        <v>1158</v>
      </c>
      <c r="P200" s="19" t="s">
        <v>1159</v>
      </c>
      <c r="Q200" s="74" t="s">
        <v>1507</v>
      </c>
      <c r="R200" s="18" t="s">
        <v>41</v>
      </c>
      <c r="S200" s="18" t="s">
        <v>458</v>
      </c>
      <c r="T200" s="21" t="str">
        <f>VLOOKUP(C200,'[1]TABEL SMA'!$C$8:$D$343,2,0)</f>
        <v>PKBM AL-FATAH - PAKET C</v>
      </c>
      <c r="U200" s="22" t="str">
        <f>IFERROR(VLOOKUP(Table11[[#This Row],[Nama]],'[1]TABEL BEASISWA'!$B$4:$D$202,2,FALSE),"TIDAK")</f>
        <v>YA</v>
      </c>
      <c r="V200" s="23" t="str">
        <f>IFERROR(VLOOKUP(Table11[[#This Row],[Nama]],'[1]TABEL BEASISWA'!$B$4:$D$202,3,FALSE),"Tidak ada")</f>
        <v>Beasiswa 100%, Umum</v>
      </c>
      <c r="W200" s="24" t="str">
        <f>IFERROR(VLOOKUP(Table11[[#This Row],[Nama]],'[1]TABEL BEASISWA'!$B$4:$E$202,4,FALSE)," ")</f>
        <v>Angkatan 4</v>
      </c>
      <c r="X200" s="25"/>
      <c r="Y200" s="25"/>
      <c r="Z200" s="26"/>
      <c r="AA200" s="25"/>
      <c r="AB200" s="25"/>
      <c r="AC200" s="130">
        <v>1001001</v>
      </c>
      <c r="AD200" s="130">
        <v>317503</v>
      </c>
      <c r="AE200" s="130"/>
      <c r="AF200" s="130" t="s">
        <v>2348</v>
      </c>
    </row>
    <row r="201" spans="1:872" ht="28">
      <c r="A201" s="10">
        <f t="shared" si="4"/>
        <v>200</v>
      </c>
      <c r="B201" s="22">
        <v>2230124201</v>
      </c>
      <c r="C201" s="58" t="s">
        <v>1508</v>
      </c>
      <c r="D201" s="58" t="s">
        <v>1509</v>
      </c>
      <c r="E201" s="19">
        <v>6329</v>
      </c>
      <c r="F201" s="19" t="s">
        <v>32</v>
      </c>
      <c r="G201" s="27" t="s">
        <v>1510</v>
      </c>
      <c r="H201" s="12" t="s">
        <v>1511</v>
      </c>
      <c r="I201" s="133">
        <v>28608</v>
      </c>
      <c r="J201" s="19" t="s">
        <v>35</v>
      </c>
      <c r="K201" s="17" t="s">
        <v>1512</v>
      </c>
      <c r="L201" s="11" t="s">
        <v>49</v>
      </c>
      <c r="M201" s="11" t="s">
        <v>60</v>
      </c>
      <c r="N201" s="18" t="s">
        <v>1513</v>
      </c>
      <c r="O201" s="19" t="s">
        <v>1513</v>
      </c>
      <c r="P201" s="19" t="s">
        <v>1514</v>
      </c>
      <c r="Q201" s="74" t="s">
        <v>1515</v>
      </c>
      <c r="R201" s="18" t="s">
        <v>41</v>
      </c>
      <c r="S201" s="18" t="s">
        <v>458</v>
      </c>
      <c r="T201" s="21" t="str">
        <f>VLOOKUP(C201,'[1]TABEL SMA'!$C$8:$D$343,2,0)</f>
        <v>SMA NEGERI 2 PAMEKASAH</v>
      </c>
      <c r="U201" s="22" t="str">
        <f>IFERROR(VLOOKUP(Table11[[#This Row],[Nama]],'[1]TABEL BEASISWA'!$B$4:$D$202,2,FALSE),"TIDAK")</f>
        <v>YA</v>
      </c>
      <c r="V201" s="23" t="str">
        <f>IFERROR(VLOOKUP(Table11[[#This Row],[Nama]],'[1]TABEL BEASISWA'!$B$4:$D$202,3,FALSE),"Tidak ada")</f>
        <v>Beasiswa 100%, Umum</v>
      </c>
      <c r="W201" s="24" t="str">
        <f>IFERROR(VLOOKUP(Table11[[#This Row],[Nama]],'[1]TABEL BEASISWA'!$B$4:$E$202,4,FALSE)," ")</f>
        <v>Angkatan 4</v>
      </c>
      <c r="X201" s="25"/>
      <c r="Y201" s="25"/>
      <c r="Z201" s="26"/>
      <c r="AA201" s="25"/>
      <c r="AB201" s="25"/>
      <c r="AC201" s="130">
        <v>1001001</v>
      </c>
      <c r="AD201" s="130">
        <v>317206</v>
      </c>
      <c r="AE201" s="130">
        <v>3172061003</v>
      </c>
      <c r="AF201" s="130" t="s">
        <v>2348</v>
      </c>
    </row>
    <row r="202" spans="1:872">
      <c r="A202" s="10">
        <f t="shared" si="4"/>
        <v>201</v>
      </c>
      <c r="B202" s="22">
        <v>2230124202</v>
      </c>
      <c r="C202" s="58" t="s">
        <v>1516</v>
      </c>
      <c r="D202" s="58" t="s">
        <v>1517</v>
      </c>
      <c r="E202" s="19"/>
      <c r="F202" s="19" t="s">
        <v>32</v>
      </c>
      <c r="G202" s="19"/>
      <c r="H202" s="19"/>
      <c r="I202" s="132"/>
      <c r="J202" s="19"/>
      <c r="K202" s="17"/>
      <c r="L202" s="19"/>
      <c r="M202" s="19"/>
      <c r="N202" s="18"/>
      <c r="O202" s="19"/>
      <c r="P202" s="19"/>
      <c r="Q202" s="22"/>
      <c r="R202" s="22"/>
      <c r="S202" s="18" t="s">
        <v>458</v>
      </c>
      <c r="T202" s="21" t="str">
        <f>VLOOKUP(C202,'[1]TABEL SMA'!$C$8:$D$343,2,0)</f>
        <v>SMU NEGERI TENTE</v>
      </c>
      <c r="U202" s="22" t="str">
        <f>IFERROR(VLOOKUP(Table11[[#This Row],[Nama]],'[1]TABEL BEASISWA'!$B$4:$D$202,2,FALSE),"TIDAK")</f>
        <v>YA</v>
      </c>
      <c r="V202" s="23" t="str">
        <f>IFERROR(VLOOKUP(Table11[[#This Row],[Nama]],'[1]TABEL BEASISWA'!$B$4:$D$202,3,FALSE),"Tidak ada")</f>
        <v>Beasiswa 100%, Umum</v>
      </c>
      <c r="W202" s="24" t="str">
        <f>IFERROR(VLOOKUP(Table11[[#This Row],[Nama]],'[1]TABEL BEASISWA'!$B$4:$E$202,4,FALSE)," ")</f>
        <v>Angkatan 4</v>
      </c>
      <c r="X202" s="25"/>
      <c r="Y202" s="25"/>
      <c r="Z202" s="26"/>
      <c r="AA202" s="25"/>
      <c r="AB202" s="25"/>
      <c r="AC202" s="130">
        <v>1001007</v>
      </c>
      <c r="AD202" s="130"/>
      <c r="AE202" s="130"/>
      <c r="AF202" s="130" t="s">
        <v>2348</v>
      </c>
    </row>
    <row r="203" spans="1:872">
      <c r="A203" s="40">
        <f t="shared" si="4"/>
        <v>202</v>
      </c>
      <c r="B203" s="75">
        <v>2230124203</v>
      </c>
      <c r="C203" s="60" t="s">
        <v>1518</v>
      </c>
      <c r="D203" s="58" t="s">
        <v>1519</v>
      </c>
      <c r="E203" s="19"/>
      <c r="F203" s="19" t="s">
        <v>67</v>
      </c>
      <c r="G203" s="19"/>
      <c r="H203" s="19"/>
      <c r="I203" s="132"/>
      <c r="J203" s="19"/>
      <c r="K203" s="17"/>
      <c r="L203" s="19"/>
      <c r="M203" s="19"/>
      <c r="N203" s="18"/>
      <c r="O203" s="19"/>
      <c r="P203" s="19"/>
      <c r="Q203" s="22"/>
      <c r="R203" s="22"/>
      <c r="S203" s="18" t="s">
        <v>52</v>
      </c>
      <c r="T203" s="21" t="e">
        <f>VLOOKUP(C203,'[1]TABEL SMA'!$C$8:$D$343,2,0)</f>
        <v>#N/A</v>
      </c>
      <c r="U203" s="22" t="str">
        <f>IFERROR(VLOOKUP(Table11[[#This Row],[Nama]],'[1]TABEL BEASISWA'!$B$4:$D$202,2,FALSE),"TIDAK")</f>
        <v>TIDAK</v>
      </c>
      <c r="V203" s="23" t="str">
        <f>IFERROR(VLOOKUP(Table11[[#This Row],[Nama]],'[1]TABEL BEASISWA'!$B$4:$D$202,3,FALSE),"Tidak ada")</f>
        <v>Tidak ada</v>
      </c>
      <c r="W203" s="24" t="str">
        <f>IFERROR(VLOOKUP(Table11[[#This Row],[Nama]],'[1]TABEL BEASISWA'!$B$4:$E$202,4,FALSE)," ")</f>
        <v xml:space="preserve"> </v>
      </c>
      <c r="X203" s="25"/>
      <c r="Y203" s="25"/>
      <c r="Z203" s="26"/>
      <c r="AA203" s="25"/>
      <c r="AB203" s="25"/>
      <c r="AC203" s="130">
        <v>1001007</v>
      </c>
      <c r="AD203" s="130"/>
      <c r="AE203" s="130"/>
      <c r="AF203" s="130" t="s">
        <v>2346</v>
      </c>
    </row>
    <row r="204" spans="1:872">
      <c r="A204" s="40">
        <f t="shared" si="4"/>
        <v>203</v>
      </c>
      <c r="B204" s="75">
        <v>2230124204</v>
      </c>
      <c r="C204" s="60" t="s">
        <v>1520</v>
      </c>
      <c r="D204" s="58" t="s">
        <v>1521</v>
      </c>
      <c r="E204" s="19"/>
      <c r="F204" s="19" t="s">
        <v>32</v>
      </c>
      <c r="G204" s="19"/>
      <c r="H204" s="19"/>
      <c r="I204" s="132"/>
      <c r="J204" s="19"/>
      <c r="K204" s="17"/>
      <c r="L204" s="19"/>
      <c r="M204" s="19"/>
      <c r="N204" s="18"/>
      <c r="O204" s="19"/>
      <c r="P204" s="19"/>
      <c r="Q204" s="22"/>
      <c r="R204" s="22"/>
      <c r="S204" s="18" t="s">
        <v>365</v>
      </c>
      <c r="T204" s="21" t="e">
        <f>VLOOKUP(C204,'[1]TABEL SMA'!$C$8:$D$343,2,0)</f>
        <v>#N/A</v>
      </c>
      <c r="U204" s="22" t="str">
        <f>IFERROR(VLOOKUP(Table11[[#This Row],[Nama]],'[1]TABEL BEASISWA'!$B$4:$D$202,2,FALSE),"TIDAK")</f>
        <v>TIDAK</v>
      </c>
      <c r="V204" s="23" t="str">
        <f>IFERROR(VLOOKUP(Table11[[#This Row],[Nama]],'[1]TABEL BEASISWA'!$B$4:$D$202,3,FALSE),"Tidak ada")</f>
        <v>Tidak ada</v>
      </c>
      <c r="W204" s="24" t="str">
        <f>IFERROR(VLOOKUP(Table11[[#This Row],[Nama]],'[1]TABEL BEASISWA'!$B$4:$E$202,4,FALSE)," ")</f>
        <v xml:space="preserve"> </v>
      </c>
      <c r="X204" s="25"/>
      <c r="Y204" s="25"/>
      <c r="Z204" s="26"/>
      <c r="AA204" s="25"/>
      <c r="AB204" s="25"/>
      <c r="AC204" s="130">
        <v>1001007</v>
      </c>
      <c r="AD204" s="130"/>
      <c r="AE204" s="130"/>
      <c r="AF204" s="130" t="s">
        <v>2347</v>
      </c>
    </row>
    <row r="205" spans="1:872" ht="42">
      <c r="A205" s="76">
        <f t="shared" si="4"/>
        <v>204</v>
      </c>
      <c r="B205" s="77">
        <v>2230124205</v>
      </c>
      <c r="C205" s="78" t="s">
        <v>1522</v>
      </c>
      <c r="D205" s="78"/>
      <c r="E205" s="79"/>
      <c r="F205" s="79" t="s">
        <v>32</v>
      </c>
      <c r="G205" s="79"/>
      <c r="H205" s="79"/>
      <c r="I205" s="136"/>
      <c r="J205" s="79"/>
      <c r="K205" s="80"/>
      <c r="L205" s="79"/>
      <c r="M205" s="79"/>
      <c r="N205" s="79"/>
      <c r="O205" s="79"/>
      <c r="P205" s="79"/>
      <c r="Q205" s="77"/>
      <c r="R205" s="77"/>
      <c r="S205" s="81" t="s">
        <v>458</v>
      </c>
      <c r="T205" s="82" t="str">
        <f>VLOOKUP(C205,'[1]TABEL SMA'!$C$8:$D$343,2,0)</f>
        <v>SMA 19 BUMI SILIWANGI BANDUNG</v>
      </c>
      <c r="U205" s="77" t="str">
        <f>IFERROR(VLOOKUP(Table11[[#This Row],[Nama]],'[1]TABEL BEASISWA'!$B$4:$D$202,2,FALSE),"TIDAK")</f>
        <v>YA</v>
      </c>
      <c r="V205" s="83" t="str">
        <f>IFERROR(VLOOKUP(Table11[[#This Row],[Nama]],'[1]TABEL BEASISWA'!$B$4:$D$202,3,FALSE),"Tidak ada")</f>
        <v>Beasiswa 100%, Umum</v>
      </c>
      <c r="W205" s="84" t="str">
        <f>IFERROR(VLOOKUP(Table11[[#This Row],[Nama]],'[1]TABEL BEASISWA'!$B$4:$E$202,4,FALSE)," ")</f>
        <v>Angkatan 4</v>
      </c>
      <c r="X205" s="25"/>
      <c r="Y205" s="25"/>
      <c r="Z205" s="26"/>
      <c r="AA205" s="25"/>
      <c r="AB205" s="25"/>
      <c r="AC205" s="130">
        <v>1001007</v>
      </c>
      <c r="AD205" s="130"/>
      <c r="AE205" s="130"/>
      <c r="AF205" s="130" t="s">
        <v>2350</v>
      </c>
    </row>
    <row r="206" spans="1:872" ht="28">
      <c r="A206" s="86">
        <f t="shared" si="4"/>
        <v>205</v>
      </c>
      <c r="B206" s="87">
        <v>2230125206</v>
      </c>
      <c r="C206" s="88" t="s">
        <v>1523</v>
      </c>
      <c r="D206" s="89" t="s">
        <v>1524</v>
      </c>
      <c r="E206" s="89" t="s">
        <v>1525</v>
      </c>
      <c r="F206" s="87" t="s">
        <v>32</v>
      </c>
      <c r="G206" s="89" t="s">
        <v>1526</v>
      </c>
      <c r="H206" s="89" t="s">
        <v>454</v>
      </c>
      <c r="I206" s="137">
        <v>38731</v>
      </c>
      <c r="J206" s="87" t="s">
        <v>35</v>
      </c>
      <c r="K206" s="90" t="e">
        <f>PROPER(#REF!)</f>
        <v>#REF!</v>
      </c>
      <c r="L206" s="87">
        <v>4</v>
      </c>
      <c r="M206" s="87">
        <v>1</v>
      </c>
      <c r="N206" s="89" t="s">
        <v>1527</v>
      </c>
      <c r="O206" s="89" t="s">
        <v>1527</v>
      </c>
      <c r="P206" s="89" t="s">
        <v>693</v>
      </c>
      <c r="Q206" s="87">
        <v>17432</v>
      </c>
      <c r="R206" s="91"/>
      <c r="S206" s="92" t="s">
        <v>365</v>
      </c>
      <c r="T206" s="93" t="str">
        <f>VLOOKUP(C206,'[1]TABEL SMA'!$C$8:$D$343,2,0)</f>
        <v>SMA NEGERI 7 KOTA BEKASI</v>
      </c>
      <c r="U206" s="91" t="str">
        <f>IFERROR(VLOOKUP(Table11[[#This Row],[Nama]],'[1]TABEL BEASISWA'!$B$4:$D$202,2,FALSE),"TIDAK")</f>
        <v>TIDAK</v>
      </c>
      <c r="V206" s="94" t="str">
        <f>IFERROR(VLOOKUP(Table11[[#This Row],[Nama]],'[1]TABEL BEASISWA'!$B$4:$D$202,3,FALSE),"Tidak ada")</f>
        <v>Tidak ada</v>
      </c>
      <c r="W206" s="95" t="str">
        <f>IFERROR(VLOOKUP(Table11[[#This Row],[Nama]],'[1]TABEL BEASISWA'!$B$4:$E$202,4,FALSE)," ")</f>
        <v xml:space="preserve"> </v>
      </c>
      <c r="X206" s="91" t="s">
        <v>1528</v>
      </c>
      <c r="Y206" s="96" t="s">
        <v>1529</v>
      </c>
      <c r="Z206" s="96" t="s">
        <v>1530</v>
      </c>
      <c r="AA206" s="97">
        <v>45936</v>
      </c>
      <c r="AB206" s="91" t="s">
        <v>1531</v>
      </c>
      <c r="AC206" s="130">
        <v>1001001</v>
      </c>
      <c r="AD206" s="130">
        <v>327510</v>
      </c>
      <c r="AE206" s="130">
        <v>3275101003</v>
      </c>
      <c r="AF206" s="130" t="s">
        <v>2347</v>
      </c>
    </row>
    <row r="207" spans="1:872" s="85" customFormat="1" ht="28">
      <c r="A207" s="76">
        <f t="shared" si="4"/>
        <v>206</v>
      </c>
      <c r="B207" s="99">
        <f t="shared" si="4"/>
        <v>2230125207</v>
      </c>
      <c r="C207" s="100" t="s">
        <v>1532</v>
      </c>
      <c r="D207" s="100" t="s">
        <v>1533</v>
      </c>
      <c r="E207" s="101" t="s">
        <v>1534</v>
      </c>
      <c r="F207" s="99" t="s">
        <v>32</v>
      </c>
      <c r="G207" s="101" t="s">
        <v>1535</v>
      </c>
      <c r="H207" s="101" t="s">
        <v>1536</v>
      </c>
      <c r="I207" s="138">
        <v>37003</v>
      </c>
      <c r="J207" s="99" t="s">
        <v>35</v>
      </c>
      <c r="K207" s="90" t="e">
        <f>PROPER(#REF!)</f>
        <v>#REF!</v>
      </c>
      <c r="L207" s="99">
        <v>1</v>
      </c>
      <c r="M207" s="99">
        <v>9</v>
      </c>
      <c r="N207" s="101" t="s">
        <v>1537</v>
      </c>
      <c r="O207" s="101" t="s">
        <v>1538</v>
      </c>
      <c r="P207" s="101" t="s">
        <v>1539</v>
      </c>
      <c r="Q207" s="99">
        <v>15152</v>
      </c>
      <c r="R207" s="22"/>
      <c r="S207" s="102" t="s">
        <v>365</v>
      </c>
      <c r="T207" s="21" t="str">
        <f>VLOOKUP(C207,'[1]TABEL SMA'!$C$8:$D$343,2,0)</f>
        <v>SMA PLUS AT-THAIRIN</v>
      </c>
      <c r="U207" s="22" t="str">
        <f>IFERROR(VLOOKUP(Table11[[#This Row],[Nama]],'[1]TABEL BEASISWA'!$B$4:$D$202,2,FALSE),"TIDAK")</f>
        <v>TIDAK</v>
      </c>
      <c r="V207" s="83" t="str">
        <f>IFERROR(VLOOKUP(Table11[[#This Row],[Nama]],'[1]TABEL BEASISWA'!$B$4:$D$202,3,FALSE),"Tidak ada")</f>
        <v>Tidak ada</v>
      </c>
      <c r="W207" s="24" t="str">
        <f>IFERROR(VLOOKUP(Table11[[#This Row],[Nama]],'[1]TABEL BEASISWA'!$B$4:$E$202,4,FALSE)," ")</f>
        <v xml:space="preserve"> </v>
      </c>
      <c r="X207" s="91" t="s">
        <v>1528</v>
      </c>
      <c r="Y207" s="96" t="s">
        <v>1540</v>
      </c>
      <c r="Z207" s="96" t="s">
        <v>1530</v>
      </c>
      <c r="AA207" s="97">
        <v>45936</v>
      </c>
      <c r="AB207" s="91" t="s">
        <v>1531</v>
      </c>
      <c r="AC207" s="130">
        <v>1001001</v>
      </c>
      <c r="AD207" s="130"/>
      <c r="AE207" s="130"/>
      <c r="AF207" s="130" t="s">
        <v>2347</v>
      </c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</row>
    <row r="208" spans="1:872" s="98" customFormat="1" ht="28">
      <c r="A208" s="76">
        <f t="shared" si="4"/>
        <v>207</v>
      </c>
      <c r="B208" s="87">
        <f t="shared" si="4"/>
        <v>2230125208</v>
      </c>
      <c r="C208" s="88" t="s">
        <v>1541</v>
      </c>
      <c r="D208" s="89" t="s">
        <v>1542</v>
      </c>
      <c r="E208" s="89" t="s">
        <v>1543</v>
      </c>
      <c r="F208" s="87" t="s">
        <v>67</v>
      </c>
      <c r="G208" s="89" t="s">
        <v>1544</v>
      </c>
      <c r="H208" s="89" t="s">
        <v>1545</v>
      </c>
      <c r="I208" s="137">
        <v>38102</v>
      </c>
      <c r="J208" s="87" t="s">
        <v>35</v>
      </c>
      <c r="K208" s="90" t="e">
        <f>PROPER(#REF!)</f>
        <v>#REF!</v>
      </c>
      <c r="L208" s="103">
        <v>11</v>
      </c>
      <c r="M208" s="103">
        <v>3</v>
      </c>
      <c r="N208" s="89" t="s">
        <v>1546</v>
      </c>
      <c r="O208" s="89" t="s">
        <v>1547</v>
      </c>
      <c r="P208" s="89" t="s">
        <v>1548</v>
      </c>
      <c r="Q208" s="87">
        <v>38224</v>
      </c>
      <c r="R208" s="22"/>
      <c r="S208" s="102" t="s">
        <v>52</v>
      </c>
      <c r="T208" s="21" t="str">
        <f>VLOOKUP(C208,'[1]TABEL SMA'!$C$8:$D$343,2,0)</f>
        <v>SMAN 4 KOTA BENGKULU</v>
      </c>
      <c r="U208" s="22" t="str">
        <f>IFERROR(VLOOKUP(Table11[[#This Row],[Nama]],'[1]TABEL BEASISWA'!$B$4:$D$202,2,FALSE),"TIDAK")</f>
        <v>TIDAK</v>
      </c>
      <c r="V208" s="83" t="str">
        <f>IFERROR(VLOOKUP(Table11[[#This Row],[Nama]],'[1]TABEL BEASISWA'!$B$4:$D$202,3,FALSE),"Tidak ada")</f>
        <v>Tidak ada</v>
      </c>
      <c r="W208" s="24" t="str">
        <f>IFERROR(VLOOKUP(Table11[[#This Row],[Nama]],'[1]TABEL BEASISWA'!$B$4:$E$202,4,FALSE)," ")</f>
        <v xml:space="preserve"> </v>
      </c>
      <c r="X208" s="91" t="s">
        <v>1528</v>
      </c>
      <c r="Y208" s="96" t="s">
        <v>1529</v>
      </c>
      <c r="Z208" s="96" t="s">
        <v>1549</v>
      </c>
      <c r="AA208" s="97">
        <v>45936</v>
      </c>
      <c r="AB208" s="91" t="s">
        <v>1531</v>
      </c>
      <c r="AC208" s="130">
        <v>1001001</v>
      </c>
      <c r="AD208" s="130">
        <v>177102</v>
      </c>
      <c r="AE208" s="130"/>
      <c r="AF208" s="130" t="s">
        <v>2346</v>
      </c>
    </row>
    <row r="209" spans="1:32">
      <c r="A209" s="76">
        <f t="shared" si="4"/>
        <v>208</v>
      </c>
      <c r="B209" s="99">
        <f t="shared" si="4"/>
        <v>2230125209</v>
      </c>
      <c r="C209" s="100" t="s">
        <v>1550</v>
      </c>
      <c r="D209" s="100" t="s">
        <v>1551</v>
      </c>
      <c r="E209" s="100" t="s">
        <v>1552</v>
      </c>
      <c r="F209" s="99" t="s">
        <v>32</v>
      </c>
      <c r="G209" s="101" t="s">
        <v>1553</v>
      </c>
      <c r="H209" s="101" t="s">
        <v>34</v>
      </c>
      <c r="I209" s="138">
        <v>38792</v>
      </c>
      <c r="J209" s="99" t="s">
        <v>35</v>
      </c>
      <c r="K209" s="90" t="e">
        <f>PROPER(#REF!)</f>
        <v>#REF!</v>
      </c>
      <c r="L209" s="104">
        <v>7</v>
      </c>
      <c r="M209" s="104">
        <v>4</v>
      </c>
      <c r="N209" s="101" t="s">
        <v>108</v>
      </c>
      <c r="O209" s="101" t="s">
        <v>108</v>
      </c>
      <c r="P209" s="101" t="s">
        <v>109</v>
      </c>
      <c r="Q209" s="99">
        <v>17411</v>
      </c>
      <c r="R209" s="22"/>
      <c r="S209" s="102" t="s">
        <v>52</v>
      </c>
      <c r="T209" s="21" t="str">
        <f>VLOOKUP(C209,'[1]TABEL SMA'!$C$8:$D$343,2,0)</f>
        <v>MA ALI MAKSUM</v>
      </c>
      <c r="U209" s="22" t="str">
        <f>IFERROR(VLOOKUP(Table11[[#This Row],[Nama]],'[1]TABEL BEASISWA'!$B$4:$D$202,2,FALSE),"TIDAK")</f>
        <v>TIDAK</v>
      </c>
      <c r="V209" s="83" t="str">
        <f>IFERROR(VLOOKUP(Table11[[#This Row],[Nama]],'[1]TABEL BEASISWA'!$B$4:$D$202,3,FALSE),"Tidak ada")</f>
        <v>Tidak ada</v>
      </c>
      <c r="W209" s="24" t="str">
        <f>IFERROR(VLOOKUP(Table11[[#This Row],[Nama]],'[1]TABEL BEASISWA'!$B$4:$E$202,4,FALSE)," ")</f>
        <v xml:space="preserve"> </v>
      </c>
      <c r="X209" s="91" t="s">
        <v>1528</v>
      </c>
      <c r="Y209" s="96" t="s">
        <v>1529</v>
      </c>
      <c r="Z209" s="96" t="s">
        <v>1530</v>
      </c>
      <c r="AA209" s="97">
        <v>45936</v>
      </c>
      <c r="AB209" s="91" t="s">
        <v>1531</v>
      </c>
      <c r="AC209" s="130">
        <v>1001001</v>
      </c>
      <c r="AD209" s="130"/>
      <c r="AE209" s="130"/>
      <c r="AF209" s="130" t="s">
        <v>2346</v>
      </c>
    </row>
    <row r="210" spans="1:32" ht="28">
      <c r="A210" s="76">
        <f t="shared" si="4"/>
        <v>209</v>
      </c>
      <c r="B210" s="87">
        <f t="shared" si="4"/>
        <v>2230125210</v>
      </c>
      <c r="C210" s="88" t="s">
        <v>1554</v>
      </c>
      <c r="D210" s="89" t="s">
        <v>1555</v>
      </c>
      <c r="E210" s="89" t="s">
        <v>1556</v>
      </c>
      <c r="F210" s="87" t="s">
        <v>67</v>
      </c>
      <c r="G210" s="89" t="s">
        <v>1557</v>
      </c>
      <c r="H210" s="89" t="s">
        <v>1558</v>
      </c>
      <c r="I210" s="137">
        <v>39091</v>
      </c>
      <c r="J210" s="87" t="s">
        <v>1368</v>
      </c>
      <c r="K210" s="90" t="e">
        <f>PROPER(#REF!)</f>
        <v>#REF!</v>
      </c>
      <c r="L210" s="87" t="s">
        <v>1043</v>
      </c>
      <c r="M210" s="87" t="s">
        <v>1043</v>
      </c>
      <c r="N210" s="89" t="s">
        <v>1559</v>
      </c>
      <c r="O210" s="89" t="s">
        <v>1559</v>
      </c>
      <c r="P210" s="89" t="s">
        <v>216</v>
      </c>
      <c r="Q210" s="87">
        <v>20412</v>
      </c>
      <c r="R210" s="22"/>
      <c r="S210" s="102" t="s">
        <v>52</v>
      </c>
      <c r="T210" s="21" t="str">
        <f>VLOOKUP(C210,'[1]TABEL SMA'!$C$8:$D$343,2,0)</f>
        <v>METHODIST 8 MEDAN</v>
      </c>
      <c r="U210" s="22" t="str">
        <f>IFERROR(VLOOKUP(Table11[[#This Row],[Nama]],'[1]TABEL BEASISWA'!$B$4:$D$202,2,FALSE),"TIDAK")</f>
        <v>TIDAK</v>
      </c>
      <c r="V210" s="83" t="str">
        <f>IFERROR(VLOOKUP(Table11[[#This Row],[Nama]],'[1]TABEL BEASISWA'!$B$4:$D$202,3,FALSE),"Tidak ada")</f>
        <v>Tidak ada</v>
      </c>
      <c r="W210" s="24" t="str">
        <f>IFERROR(VLOOKUP(Table11[[#This Row],[Nama]],'[1]TABEL BEASISWA'!$B$4:$E$202,4,FALSE)," ")</f>
        <v xml:space="preserve"> </v>
      </c>
      <c r="X210" s="91" t="s">
        <v>1528</v>
      </c>
      <c r="Y210" s="96" t="s">
        <v>1529</v>
      </c>
      <c r="Z210" s="96" t="s">
        <v>1530</v>
      </c>
      <c r="AA210" s="97">
        <v>45936</v>
      </c>
      <c r="AB210" s="91" t="s">
        <v>1531</v>
      </c>
      <c r="AC210" s="130">
        <v>1001002</v>
      </c>
      <c r="AD210" s="130">
        <v>127108</v>
      </c>
      <c r="AE210" s="130">
        <v>1271081002</v>
      </c>
      <c r="AF210" s="130" t="s">
        <v>2346</v>
      </c>
    </row>
    <row r="211" spans="1:32" ht="42">
      <c r="A211" s="76">
        <f t="shared" si="4"/>
        <v>210</v>
      </c>
      <c r="B211" s="99">
        <f t="shared" si="4"/>
        <v>2230125211</v>
      </c>
      <c r="C211" s="100" t="s">
        <v>1560</v>
      </c>
      <c r="D211" s="101" t="s">
        <v>1561</v>
      </c>
      <c r="E211" s="101" t="s">
        <v>1562</v>
      </c>
      <c r="F211" s="99" t="s">
        <v>32</v>
      </c>
      <c r="G211" s="101" t="s">
        <v>1563</v>
      </c>
      <c r="H211" s="101" t="s">
        <v>34</v>
      </c>
      <c r="I211" s="138">
        <v>38878</v>
      </c>
      <c r="J211" s="99" t="s">
        <v>35</v>
      </c>
      <c r="K211" s="90" t="e">
        <f>PROPER(#REF!)</f>
        <v>#REF!</v>
      </c>
      <c r="L211" s="104">
        <v>5</v>
      </c>
      <c r="M211" s="104">
        <v>5</v>
      </c>
      <c r="N211" s="101" t="s">
        <v>125</v>
      </c>
      <c r="O211" s="101" t="s">
        <v>125</v>
      </c>
      <c r="P211" s="101" t="s">
        <v>126</v>
      </c>
      <c r="Q211" s="99">
        <v>12440</v>
      </c>
      <c r="R211" s="22"/>
      <c r="S211" s="102" t="s">
        <v>365</v>
      </c>
      <c r="T211" s="21" t="str">
        <f>VLOOKUP(C211,'[1]TABEL SMA'!$C$8:$D$343,2,0)</f>
        <v>SMA CENDERAWASIH 1 JAKARTA</v>
      </c>
      <c r="U211" s="22" t="str">
        <f>IFERROR(VLOOKUP(Table11[[#This Row],[Nama]],'[1]TABEL BEASISWA'!$B$4:$D$202,2,FALSE),"TIDAK")</f>
        <v>YA</v>
      </c>
      <c r="V211" s="83" t="str">
        <f>IFERROR(VLOOKUP(Table11[[#This Row],[Nama]],'[1]TABEL BEASISWA'!$B$4:$D$202,3,FALSE),"Tidak ada")</f>
        <v>Beasiswa 70%, Berprestasi/Kurang Mampu</v>
      </c>
      <c r="W211" s="24" t="str">
        <f>IFERROR(VLOOKUP(Table11[[#This Row],[Nama]],'[1]TABEL BEASISWA'!$B$4:$E$202,4,FALSE)," ")</f>
        <v>Angkatan 5</v>
      </c>
      <c r="X211" s="91" t="s">
        <v>1528</v>
      </c>
      <c r="Y211" s="96" t="s">
        <v>1529</v>
      </c>
      <c r="Z211" s="96" t="s">
        <v>1564</v>
      </c>
      <c r="AA211" s="97">
        <v>45936</v>
      </c>
      <c r="AB211" s="91" t="s">
        <v>1531</v>
      </c>
      <c r="AC211" s="130">
        <v>1001001</v>
      </c>
      <c r="AD211" s="130">
        <v>317406</v>
      </c>
      <c r="AE211" s="130">
        <v>3174061002</v>
      </c>
      <c r="AF211" s="130" t="s">
        <v>2347</v>
      </c>
    </row>
    <row r="212" spans="1:32" ht="28">
      <c r="A212" s="76">
        <f t="shared" si="4"/>
        <v>211</v>
      </c>
      <c r="B212" s="87">
        <f t="shared" si="4"/>
        <v>2230125212</v>
      </c>
      <c r="C212" s="88" t="s">
        <v>1565</v>
      </c>
      <c r="D212" s="89" t="s">
        <v>1566</v>
      </c>
      <c r="E212" s="89" t="s">
        <v>1567</v>
      </c>
      <c r="F212" s="87" t="s">
        <v>32</v>
      </c>
      <c r="G212" s="89" t="s">
        <v>1568</v>
      </c>
      <c r="H212" s="89" t="s">
        <v>974</v>
      </c>
      <c r="I212" s="137">
        <v>39135</v>
      </c>
      <c r="J212" s="87" t="s">
        <v>1368</v>
      </c>
      <c r="K212" s="90" t="e">
        <f>PROPER(#REF!)</f>
        <v>#REF!</v>
      </c>
      <c r="L212" s="103">
        <v>7</v>
      </c>
      <c r="M212" s="103">
        <v>5</v>
      </c>
      <c r="N212" s="89" t="s">
        <v>1569</v>
      </c>
      <c r="O212" s="89" t="s">
        <v>1569</v>
      </c>
      <c r="P212" s="89" t="s">
        <v>40</v>
      </c>
      <c r="Q212" s="87">
        <v>13880</v>
      </c>
      <c r="R212" s="22"/>
      <c r="S212" s="102" t="s">
        <v>365</v>
      </c>
      <c r="T212" s="21" t="str">
        <f>VLOOKUP(C212,'[1]TABEL SMA'!$C$8:$D$343,2,0)</f>
        <v>SMA KRISTEN 7 PENABUR JAKARTA</v>
      </c>
      <c r="U212" s="22" t="str">
        <f>IFERROR(VLOOKUP(Table11[[#This Row],[Nama]],'[1]TABEL BEASISWA'!$B$4:$D$202,2,FALSE),"TIDAK")</f>
        <v>TIDAK</v>
      </c>
      <c r="V212" s="83" t="str">
        <f>IFERROR(VLOOKUP(Table11[[#This Row],[Nama]],'[1]TABEL BEASISWA'!$B$4:$D$202,3,FALSE),"Tidak ada")</f>
        <v>Tidak ada</v>
      </c>
      <c r="W212" s="24" t="str">
        <f>IFERROR(VLOOKUP(Table11[[#This Row],[Nama]],'[1]TABEL BEASISWA'!$B$4:$E$202,4,FALSE)," ")</f>
        <v xml:space="preserve"> </v>
      </c>
      <c r="X212" s="91" t="s">
        <v>1528</v>
      </c>
      <c r="Y212" s="96" t="s">
        <v>1529</v>
      </c>
      <c r="Z212" s="96" t="s">
        <v>1530</v>
      </c>
      <c r="AA212" s="97">
        <v>45936</v>
      </c>
      <c r="AB212" s="91" t="s">
        <v>1531</v>
      </c>
      <c r="AC212" s="130">
        <v>1001002</v>
      </c>
      <c r="AD212" s="130">
        <v>327607</v>
      </c>
      <c r="AE212" s="130"/>
      <c r="AF212" s="130" t="s">
        <v>2347</v>
      </c>
    </row>
    <row r="213" spans="1:32" ht="28">
      <c r="A213" s="76">
        <f t="shared" si="4"/>
        <v>212</v>
      </c>
      <c r="B213" s="99">
        <f t="shared" si="4"/>
        <v>2230125213</v>
      </c>
      <c r="C213" s="100" t="s">
        <v>1570</v>
      </c>
      <c r="D213" s="101" t="s">
        <v>1571</v>
      </c>
      <c r="E213" s="101" t="s">
        <v>1572</v>
      </c>
      <c r="F213" s="99" t="s">
        <v>32</v>
      </c>
      <c r="G213" s="101" t="s">
        <v>1573</v>
      </c>
      <c r="H213" s="101" t="s">
        <v>1574</v>
      </c>
      <c r="I213" s="138">
        <v>38826</v>
      </c>
      <c r="J213" s="99" t="s">
        <v>35</v>
      </c>
      <c r="K213" s="90" t="e">
        <f>PROPER(#REF!)</f>
        <v>#REF!</v>
      </c>
      <c r="L213" s="99" t="s">
        <v>1043</v>
      </c>
      <c r="M213" s="99" t="s">
        <v>1043</v>
      </c>
      <c r="N213" s="101" t="s">
        <v>1575</v>
      </c>
      <c r="O213" s="101" t="s">
        <v>270</v>
      </c>
      <c r="P213" s="101" t="s">
        <v>1576</v>
      </c>
      <c r="Q213" s="99">
        <v>20714</v>
      </c>
      <c r="R213" s="22"/>
      <c r="S213" s="102" t="s">
        <v>52</v>
      </c>
      <c r="T213" s="21" t="str">
        <f>VLOOKUP(C213,'[1]TABEL SMA'!$C$8:$D$343,2,0)</f>
        <v>SMAN 1 MATAULI PANDAN</v>
      </c>
      <c r="U213" s="22" t="str">
        <f>IFERROR(VLOOKUP(Table11[[#This Row],[Nama]],'[1]TABEL BEASISWA'!$B$4:$D$202,2,FALSE),"TIDAK")</f>
        <v>TIDAK</v>
      </c>
      <c r="V213" s="83" t="str">
        <f>IFERROR(VLOOKUP(Table11[[#This Row],[Nama]],'[1]TABEL BEASISWA'!$B$4:$D$202,3,FALSE),"Tidak ada")</f>
        <v>Tidak ada</v>
      </c>
      <c r="W213" s="24" t="str">
        <f>IFERROR(VLOOKUP(Table11[[#This Row],[Nama]],'[1]TABEL BEASISWA'!$B$4:$E$202,4,FALSE)," ")</f>
        <v xml:space="preserve"> </v>
      </c>
      <c r="X213" s="91" t="s">
        <v>1528</v>
      </c>
      <c r="Y213" s="96" t="s">
        <v>1529</v>
      </c>
      <c r="Z213" s="96" t="s">
        <v>1530</v>
      </c>
      <c r="AA213" s="97">
        <v>45936</v>
      </c>
      <c r="AB213" s="91" t="s">
        <v>1531</v>
      </c>
      <c r="AC213" s="130">
        <v>1001001</v>
      </c>
      <c r="AD213" s="130">
        <v>127502</v>
      </c>
      <c r="AE213" s="130">
        <v>1275021005</v>
      </c>
      <c r="AF213" s="130" t="s">
        <v>2346</v>
      </c>
    </row>
    <row r="214" spans="1:32" ht="28">
      <c r="A214" s="76">
        <f t="shared" ref="A214:B229" si="5">A213+1</f>
        <v>213</v>
      </c>
      <c r="B214" s="87">
        <f t="shared" si="5"/>
        <v>2230125214</v>
      </c>
      <c r="C214" s="88" t="s">
        <v>1577</v>
      </c>
      <c r="D214" s="89" t="s">
        <v>1578</v>
      </c>
      <c r="E214" s="89" t="s">
        <v>1579</v>
      </c>
      <c r="F214" s="87" t="s">
        <v>67</v>
      </c>
      <c r="G214" s="89" t="s">
        <v>1580</v>
      </c>
      <c r="H214" s="89" t="s">
        <v>58</v>
      </c>
      <c r="I214" s="137">
        <v>39280</v>
      </c>
      <c r="J214" s="87" t="s">
        <v>35</v>
      </c>
      <c r="K214" s="90" t="e">
        <f>PROPER(#REF!)</f>
        <v>#REF!</v>
      </c>
      <c r="L214" s="87" t="s">
        <v>437</v>
      </c>
      <c r="M214" s="87" t="s">
        <v>480</v>
      </c>
      <c r="N214" s="89" t="s">
        <v>348</v>
      </c>
      <c r="O214" s="89" t="s">
        <v>348</v>
      </c>
      <c r="P214" s="89" t="s">
        <v>349</v>
      </c>
      <c r="Q214" s="87">
        <v>16411</v>
      </c>
      <c r="R214" s="22"/>
      <c r="S214" s="102" t="s">
        <v>1581</v>
      </c>
      <c r="T214" s="21" t="str">
        <f>VLOOKUP(C214,'[1]TABEL SMA'!$C$8:$D$343,2,0)</f>
        <v>SMK NEGERI 3 DEPOK</v>
      </c>
      <c r="U214" s="22" t="str">
        <f>IFERROR(VLOOKUP(Table11[[#This Row],[Nama]],'[1]TABEL BEASISWA'!$B$4:$D$202,2,FALSE),"TIDAK")</f>
        <v>YA</v>
      </c>
      <c r="V214" s="83" t="str">
        <f>IFERROR(VLOOKUP(Table11[[#This Row],[Nama]],'[1]TABEL BEASISWA'!$B$4:$D$202,3,FALSE),"Tidak ada")</f>
        <v>Beasiswa 100%, IFG</v>
      </c>
      <c r="W214" s="24" t="str">
        <f>IFERROR(VLOOKUP(Table11[[#This Row],[Nama]],'[1]TABEL BEASISWA'!$B$4:$E$202,4,FALSE)," ")</f>
        <v>Angkatan 5</v>
      </c>
      <c r="X214" s="91" t="s">
        <v>1528</v>
      </c>
      <c r="Y214" s="96" t="s">
        <v>1529</v>
      </c>
      <c r="Z214" s="96" t="s">
        <v>1582</v>
      </c>
      <c r="AA214" s="97">
        <v>45936</v>
      </c>
      <c r="AB214" s="91" t="s">
        <v>1531</v>
      </c>
      <c r="AC214" s="130">
        <v>1001001</v>
      </c>
      <c r="AD214" s="130">
        <v>327605</v>
      </c>
      <c r="AE214" s="130">
        <v>3276051004</v>
      </c>
      <c r="AF214" s="130" t="s">
        <v>2345</v>
      </c>
    </row>
    <row r="215" spans="1:32" ht="28">
      <c r="A215" s="76">
        <f t="shared" si="5"/>
        <v>214</v>
      </c>
      <c r="B215" s="99">
        <f t="shared" si="5"/>
        <v>2230125215</v>
      </c>
      <c r="C215" s="100" t="s">
        <v>1583</v>
      </c>
      <c r="D215" s="101" t="s">
        <v>1584</v>
      </c>
      <c r="E215" s="101" t="s">
        <v>1585</v>
      </c>
      <c r="F215" s="99" t="s">
        <v>32</v>
      </c>
      <c r="G215" s="101" t="s">
        <v>1586</v>
      </c>
      <c r="H215" s="101" t="s">
        <v>792</v>
      </c>
      <c r="I215" s="138" t="s">
        <v>1587</v>
      </c>
      <c r="J215" s="99" t="s">
        <v>35</v>
      </c>
      <c r="K215" s="90" t="e">
        <f>PROPER(#REF!)</f>
        <v>#REF!</v>
      </c>
      <c r="L215" s="99" t="s">
        <v>917</v>
      </c>
      <c r="M215" s="99" t="s">
        <v>49</v>
      </c>
      <c r="N215" s="101" t="s">
        <v>125</v>
      </c>
      <c r="O215" s="101" t="s">
        <v>125</v>
      </c>
      <c r="P215" s="101" t="s">
        <v>126</v>
      </c>
      <c r="Q215" s="99">
        <v>12440</v>
      </c>
      <c r="R215" s="22"/>
      <c r="S215" s="102" t="s">
        <v>1581</v>
      </c>
      <c r="T215" s="21" t="str">
        <f>VLOOKUP(C215,'[1]TABEL SMA'!$C$8:$D$343,2,0)</f>
        <v>MADRASAH ALIYAH NEGERI 3 JAKARTA</v>
      </c>
      <c r="U215" s="22" t="str">
        <f>IFERROR(VLOOKUP(Table11[[#This Row],[Nama]],'[1]TABEL BEASISWA'!$B$4:$D$202,2,FALSE),"TIDAK")</f>
        <v>TIDAK</v>
      </c>
      <c r="V215" s="83" t="str">
        <f>IFERROR(VLOOKUP(Table11[[#This Row],[Nama]],'[1]TABEL BEASISWA'!$B$4:$D$202,3,FALSE),"Tidak ada")</f>
        <v>Tidak ada</v>
      </c>
      <c r="W215" s="24" t="str">
        <f>IFERROR(VLOOKUP(Table11[[#This Row],[Nama]],'[1]TABEL BEASISWA'!$B$4:$E$202,4,FALSE)," ")</f>
        <v xml:space="preserve"> </v>
      </c>
      <c r="X215" s="91" t="s">
        <v>1528</v>
      </c>
      <c r="Y215" s="96" t="s">
        <v>1540</v>
      </c>
      <c r="Z215" s="96" t="s">
        <v>1530</v>
      </c>
      <c r="AA215" s="97">
        <v>45936</v>
      </c>
      <c r="AB215" s="91" t="s">
        <v>1588</v>
      </c>
      <c r="AC215" s="130">
        <v>1001001</v>
      </c>
      <c r="AD215" s="130">
        <v>317406</v>
      </c>
      <c r="AE215" s="130">
        <v>3174061002</v>
      </c>
      <c r="AF215" s="130" t="s">
        <v>2345</v>
      </c>
    </row>
    <row r="216" spans="1:32" ht="28">
      <c r="A216" s="76">
        <f t="shared" si="5"/>
        <v>215</v>
      </c>
      <c r="B216" s="87">
        <f t="shared" si="5"/>
        <v>2230125216</v>
      </c>
      <c r="C216" s="88" t="s">
        <v>1589</v>
      </c>
      <c r="D216" s="89" t="s">
        <v>1590</v>
      </c>
      <c r="E216" s="89" t="s">
        <v>1591</v>
      </c>
      <c r="F216" s="87" t="s">
        <v>67</v>
      </c>
      <c r="G216" s="89" t="s">
        <v>1592</v>
      </c>
      <c r="H216" s="89" t="s">
        <v>1593</v>
      </c>
      <c r="I216" s="137">
        <v>38377</v>
      </c>
      <c r="J216" s="87" t="s">
        <v>35</v>
      </c>
      <c r="K216" s="90" t="e">
        <f>PROPER(#REF!)</f>
        <v>#REF!</v>
      </c>
      <c r="L216" s="87" t="s">
        <v>169</v>
      </c>
      <c r="M216" s="87" t="s">
        <v>169</v>
      </c>
      <c r="N216" s="89" t="s">
        <v>1594</v>
      </c>
      <c r="O216" s="89" t="s">
        <v>1594</v>
      </c>
      <c r="P216" s="89" t="s">
        <v>1595</v>
      </c>
      <c r="Q216" s="87">
        <v>42371</v>
      </c>
      <c r="R216" s="22"/>
      <c r="S216" s="102" t="s">
        <v>365</v>
      </c>
      <c r="T216" s="21" t="str">
        <f>VLOOKUP(C216,'[1]TABEL SMA'!$C$8:$D$343,2,0)</f>
        <v>SMA NEGERI 1 SAJIRA</v>
      </c>
      <c r="U216" s="22" t="str">
        <f>IFERROR(VLOOKUP(Table11[[#This Row],[Nama]],'[1]TABEL BEASISWA'!$B$4:$D$202,2,FALSE),"TIDAK")</f>
        <v>YA</v>
      </c>
      <c r="V216" s="83" t="str">
        <f>IFERROR(VLOOKUP(Table11[[#This Row],[Nama]],'[1]TABEL BEASISWA'!$B$4:$D$202,3,FALSE),"Tidak ada")</f>
        <v>Beasiswa 100%, IFG</v>
      </c>
      <c r="W216" s="24" t="str">
        <f>IFERROR(VLOOKUP(Table11[[#This Row],[Nama]],'[1]TABEL BEASISWA'!$B$4:$E$202,4,FALSE)," ")</f>
        <v>Angkatan 5</v>
      </c>
      <c r="X216" s="91" t="s">
        <v>1528</v>
      </c>
      <c r="Y216" s="96" t="s">
        <v>1529</v>
      </c>
      <c r="Z216" s="96" t="s">
        <v>1582</v>
      </c>
      <c r="AA216" s="97">
        <v>45936</v>
      </c>
      <c r="AB216" s="91" t="s">
        <v>1531</v>
      </c>
      <c r="AC216" s="130">
        <v>1001001</v>
      </c>
      <c r="AD216" s="130">
        <v>360212</v>
      </c>
      <c r="AE216" s="130">
        <v>3602122014</v>
      </c>
      <c r="AF216" s="130" t="s">
        <v>2347</v>
      </c>
    </row>
    <row r="217" spans="1:32" ht="28">
      <c r="A217" s="76">
        <f t="shared" si="5"/>
        <v>216</v>
      </c>
      <c r="B217" s="99">
        <f t="shared" si="5"/>
        <v>2230125217</v>
      </c>
      <c r="C217" s="100" t="s">
        <v>1596</v>
      </c>
      <c r="D217" s="101" t="s">
        <v>1597</v>
      </c>
      <c r="E217" s="101" t="s">
        <v>1598</v>
      </c>
      <c r="F217" s="99" t="s">
        <v>67</v>
      </c>
      <c r="G217" s="101" t="s">
        <v>1599</v>
      </c>
      <c r="H217" s="101" t="s">
        <v>454</v>
      </c>
      <c r="I217" s="138" t="s">
        <v>1600</v>
      </c>
      <c r="J217" s="99" t="s">
        <v>35</v>
      </c>
      <c r="K217" s="90" t="e">
        <f>PROPER(#REF!)</f>
        <v>#REF!</v>
      </c>
      <c r="L217" s="99" t="s">
        <v>61</v>
      </c>
      <c r="M217" s="99" t="s">
        <v>572</v>
      </c>
      <c r="N217" s="101" t="s">
        <v>1601</v>
      </c>
      <c r="O217" s="101" t="s">
        <v>1602</v>
      </c>
      <c r="P217" s="101" t="s">
        <v>1603</v>
      </c>
      <c r="Q217" s="99">
        <v>17111</v>
      </c>
      <c r="R217" s="22"/>
      <c r="S217" s="102" t="s">
        <v>52</v>
      </c>
      <c r="T217" s="21" t="str">
        <f>VLOOKUP(C217,'[1]TABEL SMA'!$C$8:$D$343,2,0)</f>
        <v>SMAN 18 BEKASI</v>
      </c>
      <c r="U217" s="22" t="str">
        <f>IFERROR(VLOOKUP(Table11[[#This Row],[Nama]],'[1]TABEL BEASISWA'!$B$4:$D$202,2,FALSE),"TIDAK")</f>
        <v>YA</v>
      </c>
      <c r="V217" s="83" t="str">
        <f>IFERROR(VLOOKUP(Table11[[#This Row],[Nama]],'[1]TABEL BEASISWA'!$B$4:$D$202,3,FALSE),"Tidak ada")</f>
        <v>Beasiswa 50%, Berprestasi/Kurang Mampu</v>
      </c>
      <c r="W217" s="24" t="str">
        <f>IFERROR(VLOOKUP(Table11[[#This Row],[Nama]],'[1]TABEL BEASISWA'!$B$4:$E$202,4,FALSE)," ")</f>
        <v>Angkatan 5</v>
      </c>
      <c r="X217" s="91" t="s">
        <v>1528</v>
      </c>
      <c r="Y217" s="96" t="s">
        <v>1529</v>
      </c>
      <c r="Z217" s="96" t="s">
        <v>1549</v>
      </c>
      <c r="AA217" s="97">
        <v>45936</v>
      </c>
      <c r="AB217" s="91" t="s">
        <v>1531</v>
      </c>
      <c r="AC217" s="130">
        <v>1001001</v>
      </c>
      <c r="AD217" s="130">
        <v>327501</v>
      </c>
      <c r="AE217" s="130">
        <v>3275011004</v>
      </c>
      <c r="AF217" s="130" t="s">
        <v>2346</v>
      </c>
    </row>
    <row r="218" spans="1:32" ht="28">
      <c r="A218" s="76">
        <f t="shared" si="5"/>
        <v>217</v>
      </c>
      <c r="B218" s="87">
        <f t="shared" si="5"/>
        <v>2230125218</v>
      </c>
      <c r="C218" s="88" t="s">
        <v>1604</v>
      </c>
      <c r="D218" s="89" t="s">
        <v>1605</v>
      </c>
      <c r="E218" s="89" t="s">
        <v>1606</v>
      </c>
      <c r="F218" s="87" t="s">
        <v>32</v>
      </c>
      <c r="G218" s="89" t="s">
        <v>1607</v>
      </c>
      <c r="H218" s="89" t="s">
        <v>1608</v>
      </c>
      <c r="I218" s="137">
        <v>33463</v>
      </c>
      <c r="J218" s="87" t="s">
        <v>1190</v>
      </c>
      <c r="K218" s="90" t="e">
        <f>PROPER(#REF!)</f>
        <v>#REF!</v>
      </c>
      <c r="L218" s="87" t="s">
        <v>60</v>
      </c>
      <c r="M218" s="87" t="s">
        <v>60</v>
      </c>
      <c r="N218" s="89" t="s">
        <v>1609</v>
      </c>
      <c r="O218" s="89" t="s">
        <v>1610</v>
      </c>
      <c r="P218" s="89" t="s">
        <v>1611</v>
      </c>
      <c r="Q218" s="87">
        <v>11610</v>
      </c>
      <c r="R218" s="22"/>
      <c r="S218" s="102" t="s">
        <v>458</v>
      </c>
      <c r="T218" s="21" t="str">
        <f>VLOOKUP(C218,'[1]TABEL SMA'!$C$8:$D$343,2,0)</f>
        <v xml:space="preserve">SMA SWASTA SUTOMO 1 MEDAN </v>
      </c>
      <c r="U218" s="22" t="str">
        <f>IFERROR(VLOOKUP(Table11[[#This Row],[Nama]],'[1]TABEL BEASISWA'!$B$4:$D$202,2,FALSE),"TIDAK")</f>
        <v>YA</v>
      </c>
      <c r="V218" s="83" t="str">
        <f>IFERROR(VLOOKUP(Table11[[#This Row],[Nama]],'[1]TABEL BEASISWA'!$B$4:$D$202,3,FALSE),"Tidak ada")</f>
        <v>Beasiswa 100%, Yayasan Karya Bhakti Adhyaksa</v>
      </c>
      <c r="W218" s="24" t="str">
        <f>IFERROR(VLOOKUP(Table11[[#This Row],[Nama]],'[1]TABEL BEASISWA'!$B$4:$E$202,4,FALSE)," ")</f>
        <v>Angkatan 5</v>
      </c>
      <c r="X218" s="91" t="s">
        <v>1528</v>
      </c>
      <c r="Y218" s="96" t="s">
        <v>1529</v>
      </c>
      <c r="Z218" s="96" t="s">
        <v>1582</v>
      </c>
      <c r="AA218" s="97">
        <v>45936</v>
      </c>
      <c r="AB218" s="91" t="s">
        <v>1531</v>
      </c>
      <c r="AC218" s="130">
        <v>1001004</v>
      </c>
      <c r="AD218" s="130">
        <v>317308</v>
      </c>
      <c r="AE218" s="130">
        <v>3173081006</v>
      </c>
      <c r="AF218" s="130" t="s">
        <v>2348</v>
      </c>
    </row>
    <row r="219" spans="1:32">
      <c r="A219" s="76">
        <f t="shared" si="5"/>
        <v>218</v>
      </c>
      <c r="B219" s="99">
        <f t="shared" si="5"/>
        <v>2230125219</v>
      </c>
      <c r="C219" s="100" t="s">
        <v>1612</v>
      </c>
      <c r="D219" s="101" t="s">
        <v>1613</v>
      </c>
      <c r="E219" s="101" t="s">
        <v>1614</v>
      </c>
      <c r="F219" s="99" t="s">
        <v>32</v>
      </c>
      <c r="G219" s="101" t="s">
        <v>1615</v>
      </c>
      <c r="H219" s="101" t="s">
        <v>1616</v>
      </c>
      <c r="I219" s="138" t="s">
        <v>1617</v>
      </c>
      <c r="J219" s="99" t="s">
        <v>35</v>
      </c>
      <c r="K219" s="90" t="e">
        <f>PROPER(#REF!)</f>
        <v>#REF!</v>
      </c>
      <c r="L219" s="99" t="s">
        <v>205</v>
      </c>
      <c r="M219" s="99" t="s">
        <v>60</v>
      </c>
      <c r="N219" s="101" t="s">
        <v>1017</v>
      </c>
      <c r="O219" s="101" t="s">
        <v>1618</v>
      </c>
      <c r="P219" s="101" t="s">
        <v>1619</v>
      </c>
      <c r="Q219" s="99">
        <v>13470</v>
      </c>
      <c r="R219" s="22"/>
      <c r="S219" s="102" t="s">
        <v>52</v>
      </c>
      <c r="T219" s="21" t="str">
        <f>VLOOKUP(C219,'[1]TABEL SMA'!$C$8:$D$343,2,0)</f>
        <v>SMAN 12 JAKARTA</v>
      </c>
      <c r="U219" s="22" t="str">
        <f>IFERROR(VLOOKUP(Table11[[#This Row],[Nama]],'[1]TABEL BEASISWA'!$B$4:$D$202,2,FALSE),"TIDAK")</f>
        <v>TIDAK</v>
      </c>
      <c r="V219" s="83" t="str">
        <f>IFERROR(VLOOKUP(Table11[[#This Row],[Nama]],'[1]TABEL BEASISWA'!$B$4:$D$202,3,FALSE),"Tidak ada")</f>
        <v>Tidak ada</v>
      </c>
      <c r="W219" s="24" t="str">
        <f>IFERROR(VLOOKUP(Table11[[#This Row],[Nama]],'[1]TABEL BEASISWA'!$B$4:$E$202,4,FALSE)," ")</f>
        <v xml:space="preserve"> </v>
      </c>
      <c r="X219" s="91" t="s">
        <v>1528</v>
      </c>
      <c r="Y219" s="96" t="s">
        <v>1529</v>
      </c>
      <c r="Z219" s="96" t="s">
        <v>1530</v>
      </c>
      <c r="AA219" s="97">
        <v>45936</v>
      </c>
      <c r="AB219" s="91" t="s">
        <v>1531</v>
      </c>
      <c r="AC219" s="130">
        <v>1001001</v>
      </c>
      <c r="AD219" s="130">
        <v>317507</v>
      </c>
      <c r="AE219" s="130">
        <v>3175071003</v>
      </c>
      <c r="AF219" s="130" t="s">
        <v>2346</v>
      </c>
    </row>
    <row r="220" spans="1:32" ht="28">
      <c r="A220" s="76">
        <f t="shared" si="5"/>
        <v>219</v>
      </c>
      <c r="B220" s="87">
        <f t="shared" si="5"/>
        <v>2230125220</v>
      </c>
      <c r="C220" s="88" t="s">
        <v>1620</v>
      </c>
      <c r="D220" s="89" t="s">
        <v>1621</v>
      </c>
      <c r="E220" s="89" t="s">
        <v>1622</v>
      </c>
      <c r="F220" s="87" t="s">
        <v>32</v>
      </c>
      <c r="G220" s="89">
        <v>85930299993</v>
      </c>
      <c r="H220" s="89" t="s">
        <v>294</v>
      </c>
      <c r="I220" s="137">
        <v>38984</v>
      </c>
      <c r="J220" s="87" t="s">
        <v>35</v>
      </c>
      <c r="K220" s="90" t="e">
        <f>PROPER(#REF!)</f>
        <v>#REF!</v>
      </c>
      <c r="L220" s="87" t="s">
        <v>347</v>
      </c>
      <c r="M220" s="87" t="s">
        <v>37</v>
      </c>
      <c r="N220" s="89" t="s">
        <v>1623</v>
      </c>
      <c r="O220" s="89" t="s">
        <v>1624</v>
      </c>
      <c r="P220" s="89" t="s">
        <v>513</v>
      </c>
      <c r="Q220" s="87" t="s">
        <v>140</v>
      </c>
      <c r="R220" s="22"/>
      <c r="S220" s="102" t="s">
        <v>52</v>
      </c>
      <c r="T220" s="21" t="str">
        <f>VLOOKUP(C220,'[1]TABEL SMA'!$C$8:$D$343,2,0)</f>
        <v xml:space="preserve">SMK NEGERI 2 SAMPANG </v>
      </c>
      <c r="U220" s="22" t="str">
        <f>IFERROR(VLOOKUP(Table11[[#This Row],[Nama]],'[1]TABEL BEASISWA'!$B$4:$D$202,2,FALSE),"TIDAK")</f>
        <v>YA</v>
      </c>
      <c r="V220" s="83" t="str">
        <f>IFERROR(VLOOKUP(Table11[[#This Row],[Nama]],'[1]TABEL BEASISWA'!$B$4:$D$202,3,FALSE),"Tidak ada")</f>
        <v>Beasiswa 50%, Berprestasi/Kurang Mampu</v>
      </c>
      <c r="W220" s="24" t="str">
        <f>IFERROR(VLOOKUP(Table11[[#This Row],[Nama]],'[1]TABEL BEASISWA'!$B$4:$E$202,4,FALSE)," ")</f>
        <v>Angkatan 5</v>
      </c>
      <c r="X220" s="91" t="s">
        <v>1528</v>
      </c>
      <c r="Y220" s="96" t="s">
        <v>1529</v>
      </c>
      <c r="Z220" s="96" t="s">
        <v>1549</v>
      </c>
      <c r="AA220" s="97">
        <v>45936</v>
      </c>
      <c r="AB220" s="91" t="s">
        <v>1531</v>
      </c>
      <c r="AC220" s="130">
        <v>1001001</v>
      </c>
      <c r="AD220" s="130">
        <v>367403</v>
      </c>
      <c r="AE220" s="130">
        <v>3674031007</v>
      </c>
      <c r="AF220" s="130" t="s">
        <v>2346</v>
      </c>
    </row>
    <row r="221" spans="1:32" ht="28">
      <c r="A221" s="76">
        <f t="shared" si="5"/>
        <v>220</v>
      </c>
      <c r="B221" s="99">
        <f t="shared" si="5"/>
        <v>2230125221</v>
      </c>
      <c r="C221" s="100" t="s">
        <v>1625</v>
      </c>
      <c r="D221" s="100" t="s">
        <v>1626</v>
      </c>
      <c r="E221" s="101" t="s">
        <v>1627</v>
      </c>
      <c r="F221" s="99" t="s">
        <v>67</v>
      </c>
      <c r="G221" s="101" t="s">
        <v>1628</v>
      </c>
      <c r="H221" s="101" t="s">
        <v>974</v>
      </c>
      <c r="I221" s="138">
        <v>37879</v>
      </c>
      <c r="J221" s="99" t="s">
        <v>35</v>
      </c>
      <c r="K221" s="90" t="e">
        <f>PROPER(#REF!)</f>
        <v>#REF!</v>
      </c>
      <c r="L221" s="99">
        <v>6</v>
      </c>
      <c r="M221" s="99">
        <v>7</v>
      </c>
      <c r="N221" s="101" t="s">
        <v>1629</v>
      </c>
      <c r="O221" s="101" t="s">
        <v>1629</v>
      </c>
      <c r="P221" s="101" t="s">
        <v>1011</v>
      </c>
      <c r="Q221" s="99">
        <v>12640</v>
      </c>
      <c r="R221" s="22"/>
      <c r="S221" s="102" t="s">
        <v>52</v>
      </c>
      <c r="T221" s="21" t="str">
        <f>VLOOKUP(C221,'[1]TABEL SMA'!$C$8:$D$343,2,0)</f>
        <v xml:space="preserve">SMA NEGERI 109 JAKARTA </v>
      </c>
      <c r="U221" s="22" t="str">
        <f>IFERROR(VLOOKUP(Table11[[#This Row],[Nama]],'[1]TABEL BEASISWA'!$B$4:$D$202,2,FALSE),"TIDAK")</f>
        <v>YA</v>
      </c>
      <c r="V221" s="83" t="str">
        <f>IFERROR(VLOOKUP(Table11[[#This Row],[Nama]],'[1]TABEL BEASISWA'!$B$4:$D$202,3,FALSE),"Tidak ada")</f>
        <v>Beasiswa 50%, Berprestasi/Kurang Mampu</v>
      </c>
      <c r="W221" s="24" t="str">
        <f>IFERROR(VLOOKUP(Table11[[#This Row],[Nama]],'[1]TABEL BEASISWA'!$B$4:$E$202,4,FALSE)," ")</f>
        <v>Angkatan 5</v>
      </c>
      <c r="X221" s="91" t="s">
        <v>1528</v>
      </c>
      <c r="Y221" s="96" t="s">
        <v>1529</v>
      </c>
      <c r="Z221" s="96" t="s">
        <v>1549</v>
      </c>
      <c r="AA221" s="97">
        <v>45936</v>
      </c>
      <c r="AB221" s="91" t="s">
        <v>1531</v>
      </c>
      <c r="AC221" s="130">
        <v>1001001</v>
      </c>
      <c r="AD221" s="130">
        <v>317409</v>
      </c>
      <c r="AE221" s="130">
        <v>3174091002</v>
      </c>
      <c r="AF221" s="130" t="s">
        <v>2346</v>
      </c>
    </row>
    <row r="222" spans="1:32" ht="28">
      <c r="A222" s="76">
        <f t="shared" si="5"/>
        <v>221</v>
      </c>
      <c r="B222" s="87">
        <f t="shared" si="5"/>
        <v>2230125222</v>
      </c>
      <c r="C222" s="88" t="s">
        <v>1630</v>
      </c>
      <c r="D222" s="88" t="s">
        <v>1631</v>
      </c>
      <c r="E222" s="89" t="s">
        <v>1632</v>
      </c>
      <c r="F222" s="87" t="s">
        <v>67</v>
      </c>
      <c r="G222" s="89" t="s">
        <v>1633</v>
      </c>
      <c r="H222" s="89" t="s">
        <v>1634</v>
      </c>
      <c r="I222" s="137" t="s">
        <v>1635</v>
      </c>
      <c r="J222" s="87" t="s">
        <v>35</v>
      </c>
      <c r="K222" s="90" t="e">
        <f>PROPER(#REF!)</f>
        <v>#REF!</v>
      </c>
      <c r="L222" s="103">
        <v>0</v>
      </c>
      <c r="M222" s="103">
        <v>0</v>
      </c>
      <c r="N222" s="89" t="s">
        <v>1636</v>
      </c>
      <c r="O222" s="89" t="s">
        <v>1636</v>
      </c>
      <c r="P222" s="89" t="s">
        <v>1084</v>
      </c>
      <c r="Q222" s="87">
        <v>16434</v>
      </c>
      <c r="R222" s="22"/>
      <c r="S222" s="102" t="s">
        <v>52</v>
      </c>
      <c r="T222" s="21" t="str">
        <f>VLOOKUP(C222,'[1]TABEL SMA'!$C$8:$D$343,2,0)</f>
        <v>MAS AL HIDAYAH RAWA DEPOK</v>
      </c>
      <c r="U222" s="22" t="str">
        <f>IFERROR(VLOOKUP(Table11[[#This Row],[Nama]],'[1]TABEL BEASISWA'!$B$4:$D$202,2,FALSE),"TIDAK")</f>
        <v>YA</v>
      </c>
      <c r="V222" s="83" t="str">
        <f>IFERROR(VLOOKUP(Table11[[#This Row],[Nama]],'[1]TABEL BEASISWA'!$B$4:$D$202,3,FALSE),"Tidak ada")</f>
        <v>Beasiswa 50%, Berprestasi/Kurang Mampu</v>
      </c>
      <c r="W222" s="24" t="str">
        <f>IFERROR(VLOOKUP(Table11[[#This Row],[Nama]],'[1]TABEL BEASISWA'!$B$4:$E$202,4,FALSE)," ")</f>
        <v>Angkatan 5</v>
      </c>
      <c r="X222" s="91" t="s">
        <v>1528</v>
      </c>
      <c r="Y222" s="96" t="s">
        <v>1529</v>
      </c>
      <c r="Z222" s="96" t="s">
        <v>1549</v>
      </c>
      <c r="AA222" s="97">
        <v>45936</v>
      </c>
      <c r="AB222" s="91" t="s">
        <v>1531</v>
      </c>
      <c r="AC222" s="130">
        <v>1001001</v>
      </c>
      <c r="AD222" s="130">
        <v>327601</v>
      </c>
      <c r="AE222" s="130">
        <v>3276011010</v>
      </c>
      <c r="AF222" s="130" t="s">
        <v>2346</v>
      </c>
    </row>
    <row r="223" spans="1:32" ht="28">
      <c r="A223" s="76">
        <f t="shared" si="5"/>
        <v>222</v>
      </c>
      <c r="B223" s="99">
        <f t="shared" si="5"/>
        <v>2230125223</v>
      </c>
      <c r="C223" s="100" t="s">
        <v>1637</v>
      </c>
      <c r="D223" s="100" t="s">
        <v>1638</v>
      </c>
      <c r="E223" s="101" t="s">
        <v>1639</v>
      </c>
      <c r="F223" s="99" t="s">
        <v>67</v>
      </c>
      <c r="G223" s="101" t="s">
        <v>1640</v>
      </c>
      <c r="H223" s="101" t="s">
        <v>34</v>
      </c>
      <c r="I223" s="138">
        <v>38944</v>
      </c>
      <c r="J223" s="99" t="s">
        <v>35</v>
      </c>
      <c r="K223" s="90" t="e">
        <f>PROPER(#REF!)</f>
        <v>#REF!</v>
      </c>
      <c r="L223" s="99" t="s">
        <v>50</v>
      </c>
      <c r="M223" s="99" t="s">
        <v>79</v>
      </c>
      <c r="N223" s="101" t="s">
        <v>1641</v>
      </c>
      <c r="O223" s="101" t="s">
        <v>1641</v>
      </c>
      <c r="P223" s="101" t="s">
        <v>941</v>
      </c>
      <c r="Q223" s="99">
        <v>14320</v>
      </c>
      <c r="R223" s="22"/>
      <c r="S223" s="102" t="s">
        <v>52</v>
      </c>
      <c r="T223" s="21" t="str">
        <f>VLOOKUP(C223,'[1]TABEL SMA'!$C$8:$D$343,2,0)</f>
        <v>SMK NEGERI 12 JAKARTA</v>
      </c>
      <c r="U223" s="22" t="str">
        <f>IFERROR(VLOOKUP(Table11[[#This Row],[Nama]],'[1]TABEL BEASISWA'!$B$4:$D$202,2,FALSE),"TIDAK")</f>
        <v>YA</v>
      </c>
      <c r="V223" s="83" t="str">
        <f>IFERROR(VLOOKUP(Table11[[#This Row],[Nama]],'[1]TABEL BEASISWA'!$B$4:$D$202,3,FALSE),"Tidak ada")</f>
        <v>Beasiswa 100%, IFG</v>
      </c>
      <c r="W223" s="24" t="str">
        <f>IFERROR(VLOOKUP(Table11[[#This Row],[Nama]],'[1]TABEL BEASISWA'!$B$4:$E$202,4,FALSE)," ")</f>
        <v>Angkatan 5</v>
      </c>
      <c r="X223" s="91" t="s">
        <v>1528</v>
      </c>
      <c r="Y223" s="96" t="s">
        <v>1529</v>
      </c>
      <c r="Z223" s="96" t="s">
        <v>1582</v>
      </c>
      <c r="AA223" s="97">
        <v>45936</v>
      </c>
      <c r="AB223" s="91" t="s">
        <v>1531</v>
      </c>
      <c r="AC223" s="130">
        <v>1001001</v>
      </c>
      <c r="AD223" s="130">
        <v>317202</v>
      </c>
      <c r="AE223" s="130">
        <v>3172021005</v>
      </c>
      <c r="AF223" s="130" t="s">
        <v>2346</v>
      </c>
    </row>
    <row r="224" spans="1:32" ht="28">
      <c r="A224" s="76">
        <f t="shared" si="5"/>
        <v>223</v>
      </c>
      <c r="B224" s="87">
        <f t="shared" si="5"/>
        <v>2230125224</v>
      </c>
      <c r="C224" s="88" t="s">
        <v>1642</v>
      </c>
      <c r="D224" s="89" t="s">
        <v>1643</v>
      </c>
      <c r="E224" s="89">
        <v>9981364930</v>
      </c>
      <c r="F224" s="87" t="s">
        <v>32</v>
      </c>
      <c r="G224" s="89" t="s">
        <v>1644</v>
      </c>
      <c r="H224" s="89" t="s">
        <v>1645</v>
      </c>
      <c r="I224" s="137">
        <v>35963</v>
      </c>
      <c r="J224" s="87" t="s">
        <v>35</v>
      </c>
      <c r="K224" s="90" t="e">
        <f>PROPER(#REF!)</f>
        <v>#REF!</v>
      </c>
      <c r="L224" s="87" t="s">
        <v>49</v>
      </c>
      <c r="M224" s="87" t="s">
        <v>49</v>
      </c>
      <c r="N224" s="89" t="s">
        <v>1646</v>
      </c>
      <c r="O224" s="89" t="s">
        <v>1647</v>
      </c>
      <c r="P224" s="89" t="s">
        <v>1648</v>
      </c>
      <c r="Q224" s="87">
        <v>15155</v>
      </c>
      <c r="R224" s="22"/>
      <c r="S224" s="102" t="s">
        <v>52</v>
      </c>
      <c r="T224" s="21" t="str">
        <f>VLOOKUP(C224,'[1]TABEL SMA'!$C$8:$D$343,2,0)</f>
        <v>SMAS CENDRAWASIH II</v>
      </c>
      <c r="U224" s="22" t="str">
        <f>IFERROR(VLOOKUP(Table11[[#This Row],[Nama]],'[1]TABEL BEASISWA'!$B$4:$D$202,2,FALSE),"TIDAK")</f>
        <v>YA</v>
      </c>
      <c r="V224" s="83" t="str">
        <f>IFERROR(VLOOKUP(Table11[[#This Row],[Nama]],'[1]TABEL BEASISWA'!$B$4:$D$202,3,FALSE),"Tidak ada")</f>
        <v>Beasiswa 50%, Berprestasi/Kurang Mampu</v>
      </c>
      <c r="W224" s="24" t="str">
        <f>IFERROR(VLOOKUP(Table11[[#This Row],[Nama]],'[1]TABEL BEASISWA'!$B$4:$E$202,4,FALSE)," ")</f>
        <v>Angkatan 5</v>
      </c>
      <c r="X224" s="91" t="s">
        <v>1528</v>
      </c>
      <c r="Y224" s="96" t="s">
        <v>1540</v>
      </c>
      <c r="Z224" s="96" t="s">
        <v>1549</v>
      </c>
      <c r="AA224" s="97">
        <v>45936</v>
      </c>
      <c r="AB224" s="91" t="s">
        <v>1588</v>
      </c>
      <c r="AC224" s="130">
        <v>1001001</v>
      </c>
      <c r="AD224" s="130">
        <v>352808</v>
      </c>
      <c r="AE224" s="130"/>
      <c r="AF224" s="130" t="s">
        <v>2346</v>
      </c>
    </row>
    <row r="225" spans="1:32" ht="28">
      <c r="A225" s="76">
        <f t="shared" si="5"/>
        <v>224</v>
      </c>
      <c r="B225" s="99">
        <f t="shared" si="5"/>
        <v>2230125225</v>
      </c>
      <c r="C225" s="100" t="s">
        <v>1649</v>
      </c>
      <c r="D225" s="101" t="s">
        <v>1650</v>
      </c>
      <c r="E225" s="101" t="s">
        <v>1651</v>
      </c>
      <c r="F225" s="99" t="s">
        <v>67</v>
      </c>
      <c r="G225" s="101" t="s">
        <v>1652</v>
      </c>
      <c r="H225" s="101" t="s">
        <v>34</v>
      </c>
      <c r="I225" s="138" t="s">
        <v>1653</v>
      </c>
      <c r="J225" s="99" t="s">
        <v>35</v>
      </c>
      <c r="K225" s="90" t="e">
        <f>PROPER(#REF!)</f>
        <v>#REF!</v>
      </c>
      <c r="L225" s="99" t="s">
        <v>480</v>
      </c>
      <c r="M225" s="99" t="s">
        <v>489</v>
      </c>
      <c r="N225" s="101" t="s">
        <v>1654</v>
      </c>
      <c r="O225" s="101" t="s">
        <v>1654</v>
      </c>
      <c r="P225" s="101" t="s">
        <v>1655</v>
      </c>
      <c r="Q225" s="99">
        <v>17611</v>
      </c>
      <c r="R225" s="22"/>
      <c r="S225" s="102" t="s">
        <v>52</v>
      </c>
      <c r="T225" s="21" t="str">
        <f>VLOOKUP(C225,'[1]TABEL SMA'!$C$8:$D$343,2,0)</f>
        <v>SMK  KESEHATAN PRIMA INDONESIA</v>
      </c>
      <c r="U225" s="22" t="str">
        <f>IFERROR(VLOOKUP(Table11[[#This Row],[Nama]],'[1]TABEL BEASISWA'!$B$4:$D$202,2,FALSE),"TIDAK")</f>
        <v>TIDAK</v>
      </c>
      <c r="V225" s="83" t="str">
        <f>IFERROR(VLOOKUP(Table11[[#This Row],[Nama]],'[1]TABEL BEASISWA'!$B$4:$D$202,3,FALSE),"Tidak ada")</f>
        <v>Tidak ada</v>
      </c>
      <c r="W225" s="24" t="str">
        <f>IFERROR(VLOOKUP(Table11[[#This Row],[Nama]],'[1]TABEL BEASISWA'!$B$4:$E$202,4,FALSE)," ")</f>
        <v xml:space="preserve"> </v>
      </c>
      <c r="X225" s="91" t="s">
        <v>1528</v>
      </c>
      <c r="Y225" s="96" t="s">
        <v>1529</v>
      </c>
      <c r="Z225" s="96" t="s">
        <v>1530</v>
      </c>
      <c r="AA225" s="97">
        <v>45936</v>
      </c>
      <c r="AB225" s="91" t="s">
        <v>1531</v>
      </c>
      <c r="AC225" s="130">
        <v>1001001</v>
      </c>
      <c r="AD225" s="130">
        <v>321602</v>
      </c>
      <c r="AE225" s="130">
        <v>3216022008</v>
      </c>
      <c r="AF225" s="130" t="s">
        <v>2346</v>
      </c>
    </row>
    <row r="226" spans="1:32">
      <c r="A226" s="76">
        <f t="shared" si="5"/>
        <v>225</v>
      </c>
      <c r="B226" s="87">
        <f t="shared" si="5"/>
        <v>2230125226</v>
      </c>
      <c r="C226" s="88" t="s">
        <v>1656</v>
      </c>
      <c r="D226" s="89" t="s">
        <v>1657</v>
      </c>
      <c r="E226" s="89" t="s">
        <v>1658</v>
      </c>
      <c r="F226" s="87" t="s">
        <v>32</v>
      </c>
      <c r="G226" s="89" t="s">
        <v>1659</v>
      </c>
      <c r="H226" s="89" t="s">
        <v>1660</v>
      </c>
      <c r="I226" s="137" t="s">
        <v>1661</v>
      </c>
      <c r="J226" s="87" t="s">
        <v>1368</v>
      </c>
      <c r="K226" s="90" t="e">
        <f>PROPER(#REF!)</f>
        <v>#REF!</v>
      </c>
      <c r="L226" s="87" t="s">
        <v>79</v>
      </c>
      <c r="M226" s="87" t="s">
        <v>1043</v>
      </c>
      <c r="N226" s="89" t="s">
        <v>1662</v>
      </c>
      <c r="O226" s="89" t="s">
        <v>1663</v>
      </c>
      <c r="P226" s="89" t="s">
        <v>1664</v>
      </c>
      <c r="Q226" s="87">
        <v>77562</v>
      </c>
      <c r="R226" s="22"/>
      <c r="S226" s="102" t="s">
        <v>365</v>
      </c>
      <c r="T226" s="21" t="str">
        <f>VLOOKUP(C226,'[1]TABEL SMA'!$C$8:$D$343,2,0)</f>
        <v>SMAN 8 MALINAU</v>
      </c>
      <c r="U226" s="22" t="str">
        <f>IFERROR(VLOOKUP(Table11[[#This Row],[Nama]],'[1]TABEL BEASISWA'!$B$4:$D$202,2,FALSE),"TIDAK")</f>
        <v>TIDAK</v>
      </c>
      <c r="V226" s="83" t="str">
        <f>IFERROR(VLOOKUP(Table11[[#This Row],[Nama]],'[1]TABEL BEASISWA'!$B$4:$D$202,3,FALSE),"Tidak ada")</f>
        <v>Tidak ada</v>
      </c>
      <c r="W226" s="24" t="str">
        <f>IFERROR(VLOOKUP(Table11[[#This Row],[Nama]],'[1]TABEL BEASISWA'!$B$4:$E$202,4,FALSE)," ")</f>
        <v xml:space="preserve"> </v>
      </c>
      <c r="X226" s="91" t="s">
        <v>1528</v>
      </c>
      <c r="Y226" s="96" t="s">
        <v>1529</v>
      </c>
      <c r="Z226" s="96" t="s">
        <v>1530</v>
      </c>
      <c r="AA226" s="97">
        <v>45936</v>
      </c>
      <c r="AB226" s="91" t="s">
        <v>1531</v>
      </c>
      <c r="AC226" s="130">
        <v>1001002</v>
      </c>
      <c r="AD226" s="130">
        <v>650203</v>
      </c>
      <c r="AE226" s="130">
        <v>6502032001</v>
      </c>
      <c r="AF226" s="130" t="s">
        <v>2347</v>
      </c>
    </row>
    <row r="227" spans="1:32" ht="28">
      <c r="A227" s="76">
        <f t="shared" si="5"/>
        <v>226</v>
      </c>
      <c r="B227" s="99">
        <f t="shared" si="5"/>
        <v>2230125227</v>
      </c>
      <c r="C227" s="100" t="s">
        <v>1665</v>
      </c>
      <c r="D227" s="101" t="s">
        <v>1666</v>
      </c>
      <c r="E227" s="101" t="s">
        <v>1667</v>
      </c>
      <c r="F227" s="99" t="s">
        <v>32</v>
      </c>
      <c r="G227" s="101" t="s">
        <v>1668</v>
      </c>
      <c r="H227" s="101" t="s">
        <v>34</v>
      </c>
      <c r="I227" s="138">
        <v>39280</v>
      </c>
      <c r="J227" s="99" t="s">
        <v>35</v>
      </c>
      <c r="K227" s="90" t="e">
        <f>PROPER(#REF!)</f>
        <v>#REF!</v>
      </c>
      <c r="L227" s="99" t="s">
        <v>61</v>
      </c>
      <c r="M227" s="99" t="s">
        <v>60</v>
      </c>
      <c r="N227" s="101" t="s">
        <v>1669</v>
      </c>
      <c r="O227" s="101" t="s">
        <v>1670</v>
      </c>
      <c r="P227" s="101" t="s">
        <v>439</v>
      </c>
      <c r="Q227" s="99">
        <v>12560</v>
      </c>
      <c r="R227" s="22"/>
      <c r="S227" s="102" t="s">
        <v>52</v>
      </c>
      <c r="T227" s="21" t="str">
        <f>VLOOKUP(C227,'[1]TABEL SMA'!$C$8:$D$343,2,0)</f>
        <v>SMA SWASTA KARTIKA VIII-1</v>
      </c>
      <c r="U227" s="22" t="str">
        <f>IFERROR(VLOOKUP(Table11[[#This Row],[Nama]],'[1]TABEL BEASISWA'!$B$4:$D$202,2,FALSE),"TIDAK")</f>
        <v>TIDAK</v>
      </c>
      <c r="V227" s="83" t="str">
        <f>IFERROR(VLOOKUP(Table11[[#This Row],[Nama]],'[1]TABEL BEASISWA'!$B$4:$D$202,3,FALSE),"Tidak ada")</f>
        <v>Tidak ada</v>
      </c>
      <c r="W227" s="24" t="str">
        <f>IFERROR(VLOOKUP(Table11[[#This Row],[Nama]],'[1]TABEL BEASISWA'!$B$4:$E$202,4,FALSE)," ")</f>
        <v xml:space="preserve"> </v>
      </c>
      <c r="X227" s="91" t="s">
        <v>1528</v>
      </c>
      <c r="Y227" s="96" t="s">
        <v>1529</v>
      </c>
      <c r="Z227" s="96" t="s">
        <v>1530</v>
      </c>
      <c r="AA227" s="97">
        <v>45936</v>
      </c>
      <c r="AB227" s="91" t="s">
        <v>1531</v>
      </c>
      <c r="AC227" s="130">
        <v>1001001</v>
      </c>
      <c r="AD227" s="130">
        <v>317404</v>
      </c>
      <c r="AE227" s="130">
        <v>3174041003</v>
      </c>
      <c r="AF227" s="130" t="s">
        <v>2346</v>
      </c>
    </row>
    <row r="228" spans="1:32" ht="28">
      <c r="A228" s="76">
        <f t="shared" si="5"/>
        <v>227</v>
      </c>
      <c r="B228" s="87">
        <f t="shared" si="5"/>
        <v>2230125228</v>
      </c>
      <c r="C228" s="88" t="s">
        <v>1671</v>
      </c>
      <c r="D228" s="89" t="s">
        <v>1672</v>
      </c>
      <c r="E228" s="89" t="s">
        <v>1673</v>
      </c>
      <c r="F228" s="87" t="s">
        <v>67</v>
      </c>
      <c r="G228" s="89" t="s">
        <v>1674</v>
      </c>
      <c r="H228" s="89" t="s">
        <v>34</v>
      </c>
      <c r="I228" s="137" t="s">
        <v>1675</v>
      </c>
      <c r="J228" s="87" t="s">
        <v>35</v>
      </c>
      <c r="K228" s="90" t="e">
        <f>PROPER(#REF!)</f>
        <v>#REF!</v>
      </c>
      <c r="L228" s="87" t="s">
        <v>169</v>
      </c>
      <c r="M228" s="87" t="s">
        <v>60</v>
      </c>
      <c r="N228" s="89" t="s">
        <v>918</v>
      </c>
      <c r="O228" s="89" t="s">
        <v>918</v>
      </c>
      <c r="P228" s="89" t="s">
        <v>612</v>
      </c>
      <c r="Q228" s="87">
        <v>13770</v>
      </c>
      <c r="R228" s="22"/>
      <c r="S228" s="102" t="s">
        <v>52</v>
      </c>
      <c r="T228" s="21" t="str">
        <f>VLOOKUP(C228,'[1]TABEL SMA'!$C$8:$D$343,2,0)</f>
        <v>SMA NEGERI 39 JAKARTA</v>
      </c>
      <c r="U228" s="22" t="str">
        <f>IFERROR(VLOOKUP(Table11[[#This Row],[Nama]],'[1]TABEL BEASISWA'!$B$4:$D$202,2,FALSE),"TIDAK")</f>
        <v>TIDAK</v>
      </c>
      <c r="V228" s="83" t="str">
        <f>IFERROR(VLOOKUP(Table11[[#This Row],[Nama]],'[1]TABEL BEASISWA'!$B$4:$D$202,3,FALSE),"Tidak ada")</f>
        <v>Tidak ada</v>
      </c>
      <c r="W228" s="24" t="str">
        <f>IFERROR(VLOOKUP(Table11[[#This Row],[Nama]],'[1]TABEL BEASISWA'!$B$4:$E$202,4,FALSE)," ")</f>
        <v xml:space="preserve"> </v>
      </c>
      <c r="X228" s="91" t="s">
        <v>1528</v>
      </c>
      <c r="Y228" s="96" t="s">
        <v>1529</v>
      </c>
      <c r="Z228" s="96" t="s">
        <v>1530</v>
      </c>
      <c r="AA228" s="97">
        <v>45936</v>
      </c>
      <c r="AB228" s="91" t="s">
        <v>1531</v>
      </c>
      <c r="AC228" s="130">
        <v>1001001</v>
      </c>
      <c r="AD228" s="130">
        <v>317505</v>
      </c>
      <c r="AE228" s="130">
        <v>3175051003</v>
      </c>
      <c r="AF228" s="130" t="s">
        <v>2346</v>
      </c>
    </row>
    <row r="229" spans="1:32" ht="28">
      <c r="A229" s="76">
        <f t="shared" si="5"/>
        <v>228</v>
      </c>
      <c r="B229" s="99">
        <f t="shared" si="5"/>
        <v>2230125229</v>
      </c>
      <c r="C229" s="100" t="s">
        <v>1676</v>
      </c>
      <c r="D229" s="101" t="s">
        <v>1677</v>
      </c>
      <c r="E229" s="101" t="s">
        <v>1678</v>
      </c>
      <c r="F229" s="99" t="s">
        <v>32</v>
      </c>
      <c r="G229" s="101" t="s">
        <v>1679</v>
      </c>
      <c r="H229" s="101" t="s">
        <v>1680</v>
      </c>
      <c r="I229" s="138" t="s">
        <v>1681</v>
      </c>
      <c r="J229" s="99" t="s">
        <v>1368</v>
      </c>
      <c r="K229" s="90" t="e">
        <f>PROPER(#REF!)</f>
        <v>#REF!</v>
      </c>
      <c r="L229" s="99" t="s">
        <v>37</v>
      </c>
      <c r="M229" s="99" t="s">
        <v>917</v>
      </c>
      <c r="N229" s="101" t="s">
        <v>472</v>
      </c>
      <c r="O229" s="101" t="s">
        <v>472</v>
      </c>
      <c r="P229" s="101" t="s">
        <v>1682</v>
      </c>
      <c r="Q229" s="99">
        <v>73111</v>
      </c>
      <c r="R229" s="22"/>
      <c r="S229" s="102" t="s">
        <v>52</v>
      </c>
      <c r="T229" s="21" t="str">
        <f>VLOOKUP(C229,'[1]TABEL SMA'!$C$8:$D$343,2,0)</f>
        <v xml:space="preserve">SMA NEGERI 2 PALANGKA RAYA </v>
      </c>
      <c r="U229" s="22" t="str">
        <f>IFERROR(VLOOKUP(Table11[[#This Row],[Nama]],'[1]TABEL BEASISWA'!$B$4:$D$202,2,FALSE),"TIDAK")</f>
        <v>TIDAK</v>
      </c>
      <c r="V229" s="83" t="str">
        <f>IFERROR(VLOOKUP(Table11[[#This Row],[Nama]],'[1]TABEL BEASISWA'!$B$4:$D$202,3,FALSE),"Tidak ada")</f>
        <v>Tidak ada</v>
      </c>
      <c r="W229" s="24" t="str">
        <f>IFERROR(VLOOKUP(Table11[[#This Row],[Nama]],'[1]TABEL BEASISWA'!$B$4:$E$202,4,FALSE)," ")</f>
        <v xml:space="preserve"> </v>
      </c>
      <c r="X229" s="91" t="s">
        <v>1528</v>
      </c>
      <c r="Y229" s="96" t="s">
        <v>1529</v>
      </c>
      <c r="Z229" s="96" t="s">
        <v>1530</v>
      </c>
      <c r="AA229" s="97">
        <v>45936</v>
      </c>
      <c r="AB229" s="91" t="s">
        <v>1531</v>
      </c>
      <c r="AC229" s="130">
        <v>1001002</v>
      </c>
      <c r="AD229" s="130">
        <v>627103</v>
      </c>
      <c r="AE229" s="130">
        <v>6271031002</v>
      </c>
      <c r="AF229" s="130" t="s">
        <v>2346</v>
      </c>
    </row>
    <row r="230" spans="1:32" ht="28">
      <c r="A230" s="76">
        <f t="shared" ref="A230:B245" si="6">A229+1</f>
        <v>229</v>
      </c>
      <c r="B230" s="87">
        <f t="shared" si="6"/>
        <v>2230125230</v>
      </c>
      <c r="C230" s="88" t="s">
        <v>1683</v>
      </c>
      <c r="D230" s="89" t="s">
        <v>1684</v>
      </c>
      <c r="E230" s="89">
        <v>9981602025</v>
      </c>
      <c r="F230" s="87" t="s">
        <v>32</v>
      </c>
      <c r="G230" s="89" t="s">
        <v>1685</v>
      </c>
      <c r="H230" s="89" t="s">
        <v>792</v>
      </c>
      <c r="I230" s="137">
        <v>36141</v>
      </c>
      <c r="J230" s="87" t="s">
        <v>35</v>
      </c>
      <c r="K230" s="90" t="e">
        <f>PROPER(#REF!)</f>
        <v>#REF!</v>
      </c>
      <c r="L230" s="87" t="s">
        <v>79</v>
      </c>
      <c r="M230" s="87" t="s">
        <v>489</v>
      </c>
      <c r="N230" s="89" t="s">
        <v>1686</v>
      </c>
      <c r="O230" s="89" t="s">
        <v>1686</v>
      </c>
      <c r="P230" s="89" t="s">
        <v>795</v>
      </c>
      <c r="Q230" s="87">
        <v>41316</v>
      </c>
      <c r="R230" s="22"/>
      <c r="S230" s="102" t="s">
        <v>263</v>
      </c>
      <c r="T230" s="21" t="str">
        <f>VLOOKUP(C230,'[1]TABEL SMA'!$C$8:$D$343,2,0)</f>
        <v xml:space="preserve">SMK NEGERI 1 KARAWANG </v>
      </c>
      <c r="U230" s="22" t="str">
        <f>IFERROR(VLOOKUP(Table11[[#This Row],[Nama]],'[1]TABEL BEASISWA'!$B$4:$D$202,2,FALSE),"TIDAK")</f>
        <v>YA</v>
      </c>
      <c r="V230" s="83" t="str">
        <f>IFERROR(VLOOKUP(Table11[[#This Row],[Nama]],'[1]TABEL BEASISWA'!$B$4:$D$202,3,FALSE),"Tidak ada")</f>
        <v>Beasiswa 50%, Berprestasi/Kurang Mampu</v>
      </c>
      <c r="W230" s="24" t="str">
        <f>IFERROR(VLOOKUP(Table11[[#This Row],[Nama]],'[1]TABEL BEASISWA'!$B$4:$E$202,4,FALSE)," ")</f>
        <v>Angkatan 5</v>
      </c>
      <c r="X230" s="91" t="s">
        <v>1528</v>
      </c>
      <c r="Y230" s="96" t="s">
        <v>1529</v>
      </c>
      <c r="Z230" s="96" t="s">
        <v>1549</v>
      </c>
      <c r="AA230" s="97">
        <v>45936</v>
      </c>
      <c r="AB230" s="91" t="s">
        <v>1531</v>
      </c>
      <c r="AC230" s="130">
        <v>1001001</v>
      </c>
      <c r="AD230" s="130">
        <v>321501</v>
      </c>
      <c r="AE230" s="130">
        <v>3215011005</v>
      </c>
      <c r="AF230" s="130" t="s">
        <v>2346</v>
      </c>
    </row>
    <row r="231" spans="1:32" ht="28">
      <c r="A231" s="76">
        <f t="shared" si="6"/>
        <v>230</v>
      </c>
      <c r="B231" s="99">
        <f t="shared" si="6"/>
        <v>2230125231</v>
      </c>
      <c r="C231" s="100" t="s">
        <v>1687</v>
      </c>
      <c r="D231" s="100" t="s">
        <v>1688</v>
      </c>
      <c r="E231" s="101" t="s">
        <v>1689</v>
      </c>
      <c r="F231" s="99" t="s">
        <v>32</v>
      </c>
      <c r="G231" s="101" t="s">
        <v>1690</v>
      </c>
      <c r="H231" s="101" t="s">
        <v>58</v>
      </c>
      <c r="I231" s="138">
        <v>39069</v>
      </c>
      <c r="J231" s="99" t="s">
        <v>35</v>
      </c>
      <c r="K231" s="90" t="e">
        <f>PROPER(#REF!)</f>
        <v>#REF!</v>
      </c>
      <c r="L231" s="99" t="s">
        <v>60</v>
      </c>
      <c r="M231" s="99" t="s">
        <v>37</v>
      </c>
      <c r="N231" s="101" t="s">
        <v>1691</v>
      </c>
      <c r="O231" s="101" t="s">
        <v>1691</v>
      </c>
      <c r="P231" s="101" t="s">
        <v>1691</v>
      </c>
      <c r="Q231" s="99">
        <v>16421</v>
      </c>
      <c r="R231" s="22"/>
      <c r="S231" s="102" t="s">
        <v>52</v>
      </c>
      <c r="T231" s="21" t="str">
        <f>VLOOKUP(C231,'[1]TABEL SMA'!$C$8:$D$343,2,0)</f>
        <v>SMA NEGERI 14 DEPOK</v>
      </c>
      <c r="U231" s="22" t="str">
        <f>IFERROR(VLOOKUP(Table11[[#This Row],[Nama]],'[1]TABEL BEASISWA'!$B$4:$D$202,2,FALSE),"TIDAK")</f>
        <v>YA</v>
      </c>
      <c r="V231" s="83" t="str">
        <f>IFERROR(VLOOKUP(Table11[[#This Row],[Nama]],'[1]TABEL BEASISWA'!$B$4:$D$202,3,FALSE),"Tidak ada")</f>
        <v>Beasiswa 100%, IFG</v>
      </c>
      <c r="W231" s="24" t="str">
        <f>IFERROR(VLOOKUP(Table11[[#This Row],[Nama]],'[1]TABEL BEASISWA'!$B$4:$E$202,4,FALSE)," ")</f>
        <v>Angkatan 5</v>
      </c>
      <c r="X231" s="91" t="s">
        <v>1528</v>
      </c>
      <c r="Y231" s="96" t="s">
        <v>1529</v>
      </c>
      <c r="Z231" s="96" t="s">
        <v>1582</v>
      </c>
      <c r="AA231" s="97">
        <v>45936</v>
      </c>
      <c r="AB231" s="91" t="s">
        <v>1531</v>
      </c>
      <c r="AC231" s="130">
        <v>1001001</v>
      </c>
      <c r="AD231" s="130">
        <v>327606</v>
      </c>
      <c r="AE231" s="130">
        <v>3276061001</v>
      </c>
      <c r="AF231" s="130" t="s">
        <v>2346</v>
      </c>
    </row>
    <row r="232" spans="1:32" ht="28">
      <c r="A232" s="76">
        <f t="shared" si="6"/>
        <v>231</v>
      </c>
      <c r="B232" s="105">
        <f t="shared" si="6"/>
        <v>2230125232</v>
      </c>
      <c r="C232" s="106" t="s">
        <v>1692</v>
      </c>
      <c r="D232" s="89" t="s">
        <v>140</v>
      </c>
      <c r="E232" s="87" t="s">
        <v>140</v>
      </c>
      <c r="F232" s="87" t="s">
        <v>32</v>
      </c>
      <c r="G232" s="89" t="s">
        <v>1693</v>
      </c>
      <c r="H232" s="89" t="s">
        <v>1694</v>
      </c>
      <c r="I232" s="137">
        <v>28485</v>
      </c>
      <c r="J232" s="87" t="s">
        <v>35</v>
      </c>
      <c r="K232" s="90" t="e">
        <f>PROPER(#REF!)</f>
        <v>#REF!</v>
      </c>
      <c r="L232" s="87" t="s">
        <v>437</v>
      </c>
      <c r="M232" s="87" t="s">
        <v>437</v>
      </c>
      <c r="N232" s="89" t="s">
        <v>1695</v>
      </c>
      <c r="O232" s="89" t="s">
        <v>1696</v>
      </c>
      <c r="P232" s="89" t="s">
        <v>1611</v>
      </c>
      <c r="Q232" s="87">
        <v>11610</v>
      </c>
      <c r="R232" s="22"/>
      <c r="S232" s="102" t="s">
        <v>458</v>
      </c>
      <c r="T232" s="21" t="str">
        <f>VLOOKUP(C232,'[1]TABEL SMA'!$C$8:$D$343,2,0)</f>
        <v>TIDAK LENGKAP</v>
      </c>
      <c r="U232" s="22" t="str">
        <f>IFERROR(VLOOKUP(Table11[[#This Row],[Nama]],'[1]TABEL BEASISWA'!$B$4:$D$202,2,FALSE),"TIDAK")</f>
        <v>YA</v>
      </c>
      <c r="V232" s="83" t="str">
        <f>IFERROR(VLOOKUP(Table11[[#This Row],[Nama]],'[1]TABEL BEASISWA'!$B$4:$D$202,3,FALSE),"Tidak ada")</f>
        <v>Beasiswa 100%, Yayasan Karya Bhakti Adhyaksa</v>
      </c>
      <c r="W232" s="24" t="str">
        <f>IFERROR(VLOOKUP(Table11[[#This Row],[Nama]],'[1]TABEL BEASISWA'!$B$4:$E$202,4,FALSE)," ")</f>
        <v>Angkatan 5</v>
      </c>
      <c r="X232" s="91" t="s">
        <v>1697</v>
      </c>
      <c r="Y232" s="96" t="s">
        <v>1529</v>
      </c>
      <c r="Z232" s="96" t="s">
        <v>1582</v>
      </c>
      <c r="AA232" s="97">
        <v>45936</v>
      </c>
      <c r="AB232" s="91" t="s">
        <v>1531</v>
      </c>
      <c r="AC232" s="130">
        <v>1001001</v>
      </c>
      <c r="AD232" s="130">
        <v>317308</v>
      </c>
      <c r="AE232" s="130">
        <v>3173081001</v>
      </c>
      <c r="AF232" s="130" t="s">
        <v>2348</v>
      </c>
    </row>
    <row r="233" spans="1:32" ht="28">
      <c r="A233" s="76">
        <f t="shared" si="6"/>
        <v>232</v>
      </c>
      <c r="B233" s="99">
        <f t="shared" si="6"/>
        <v>2230125233</v>
      </c>
      <c r="C233" s="100" t="s">
        <v>1698</v>
      </c>
      <c r="D233" s="101" t="s">
        <v>1699</v>
      </c>
      <c r="E233" s="101">
        <v>9972030559</v>
      </c>
      <c r="F233" s="99" t="s">
        <v>67</v>
      </c>
      <c r="G233" s="101" t="s">
        <v>1700</v>
      </c>
      <c r="H233" s="101" t="s">
        <v>34</v>
      </c>
      <c r="I233" s="138">
        <v>35741</v>
      </c>
      <c r="J233" s="99" t="s">
        <v>35</v>
      </c>
      <c r="K233" s="90" t="e">
        <f>PROPER(#REF!)</f>
        <v>#REF!</v>
      </c>
      <c r="L233" s="99" t="s">
        <v>572</v>
      </c>
      <c r="M233" s="99" t="s">
        <v>572</v>
      </c>
      <c r="N233" s="101" t="s">
        <v>1701</v>
      </c>
      <c r="O233" s="101" t="s">
        <v>1702</v>
      </c>
      <c r="P233" s="101" t="s">
        <v>1703</v>
      </c>
      <c r="Q233" s="99">
        <v>12220</v>
      </c>
      <c r="R233" s="22"/>
      <c r="S233" s="102" t="s">
        <v>458</v>
      </c>
      <c r="T233" s="21" t="str">
        <f>VLOOKUP(C233,'[1]TABEL SMA'!$C$8:$D$343,2,0)</f>
        <v>SMAN 16 JAKARTA</v>
      </c>
      <c r="U233" s="22" t="str">
        <f>IFERROR(VLOOKUP(Table11[[#This Row],[Nama]],'[1]TABEL BEASISWA'!$B$4:$D$202,2,FALSE),"TIDAK")</f>
        <v>YA</v>
      </c>
      <c r="V233" s="83" t="str">
        <f>IFERROR(VLOOKUP(Table11[[#This Row],[Nama]],'[1]TABEL BEASISWA'!$B$4:$D$202,3,FALSE),"Tidak ada")</f>
        <v>Beasiswa 50%, Berprestasi/Kurang Mampu</v>
      </c>
      <c r="W233" s="24" t="str">
        <f>IFERROR(VLOOKUP(Table11[[#This Row],[Nama]],'[1]TABEL BEASISWA'!$B$4:$E$202,4,FALSE)," ")</f>
        <v>Angkatan 5</v>
      </c>
      <c r="X233" s="91" t="s">
        <v>1528</v>
      </c>
      <c r="Y233" s="96" t="s">
        <v>1529</v>
      </c>
      <c r="Z233" s="96" t="s">
        <v>1549</v>
      </c>
      <c r="AA233" s="97">
        <v>45936</v>
      </c>
      <c r="AB233" s="91" t="s">
        <v>1531</v>
      </c>
      <c r="AC233" s="130">
        <v>1001001</v>
      </c>
      <c r="AD233" s="130">
        <v>317405</v>
      </c>
      <c r="AE233" s="130">
        <v>3174051005</v>
      </c>
      <c r="AF233" s="130" t="s">
        <v>2348</v>
      </c>
    </row>
    <row r="234" spans="1:32" ht="28">
      <c r="A234" s="76">
        <f t="shared" si="6"/>
        <v>233</v>
      </c>
      <c r="B234" s="87">
        <f t="shared" si="6"/>
        <v>2230125234</v>
      </c>
      <c r="C234" s="88" t="s">
        <v>1704</v>
      </c>
      <c r="D234" s="88" t="s">
        <v>1705</v>
      </c>
      <c r="E234" s="89" t="s">
        <v>1706</v>
      </c>
      <c r="F234" s="87" t="s">
        <v>67</v>
      </c>
      <c r="G234" s="89" t="s">
        <v>1707</v>
      </c>
      <c r="H234" s="89" t="s">
        <v>195</v>
      </c>
      <c r="I234" s="137" t="s">
        <v>1708</v>
      </c>
      <c r="J234" s="87" t="s">
        <v>35</v>
      </c>
      <c r="K234" s="90" t="e">
        <f>PROPER(#REF!)</f>
        <v>#REF!</v>
      </c>
      <c r="L234" s="87" t="s">
        <v>143</v>
      </c>
      <c r="M234" s="87" t="s">
        <v>79</v>
      </c>
      <c r="N234" s="89" t="s">
        <v>1709</v>
      </c>
      <c r="O234" s="89" t="s">
        <v>1709</v>
      </c>
      <c r="P234" s="89" t="s">
        <v>685</v>
      </c>
      <c r="Q234" s="87">
        <v>28412</v>
      </c>
      <c r="R234" s="22"/>
      <c r="S234" s="102" t="s">
        <v>52</v>
      </c>
      <c r="T234" s="21" t="str">
        <f>VLOOKUP(C234,'[1]TABEL SMA'!$C$8:$D$343,2,0)</f>
        <v xml:space="preserve">SMA NEGERI 1 BANGKINANG KOTA </v>
      </c>
      <c r="U234" s="22" t="str">
        <f>IFERROR(VLOOKUP(Table11[[#This Row],[Nama]],'[1]TABEL BEASISWA'!$B$4:$D$202,2,FALSE),"TIDAK")</f>
        <v>TIDAK</v>
      </c>
      <c r="V234" s="83" t="str">
        <f>IFERROR(VLOOKUP(Table11[[#This Row],[Nama]],'[1]TABEL BEASISWA'!$B$4:$D$202,3,FALSE),"Tidak ada")</f>
        <v>Tidak ada</v>
      </c>
      <c r="W234" s="24" t="str">
        <f>IFERROR(VLOOKUP(Table11[[#This Row],[Nama]],'[1]TABEL BEASISWA'!$B$4:$E$202,4,FALSE)," ")</f>
        <v xml:space="preserve"> </v>
      </c>
      <c r="X234" s="91" t="s">
        <v>1528</v>
      </c>
      <c r="Y234" s="96" t="s">
        <v>1529</v>
      </c>
      <c r="Z234" s="96" t="s">
        <v>1530</v>
      </c>
      <c r="AA234" s="97">
        <v>45936</v>
      </c>
      <c r="AB234" s="91" t="s">
        <v>1531</v>
      </c>
      <c r="AC234" s="130">
        <v>1001001</v>
      </c>
      <c r="AD234" s="130">
        <v>140101</v>
      </c>
      <c r="AE234" s="130">
        <v>1401012010</v>
      </c>
      <c r="AF234" s="130" t="s">
        <v>2346</v>
      </c>
    </row>
    <row r="235" spans="1:32" ht="28">
      <c r="A235" s="76">
        <f t="shared" si="6"/>
        <v>234</v>
      </c>
      <c r="B235" s="99">
        <f t="shared" si="6"/>
        <v>2230125235</v>
      </c>
      <c r="C235" s="100" t="s">
        <v>1710</v>
      </c>
      <c r="D235" s="101" t="s">
        <v>1711</v>
      </c>
      <c r="E235" s="101" t="s">
        <v>1712</v>
      </c>
      <c r="F235" s="99" t="s">
        <v>32</v>
      </c>
      <c r="G235" s="101" t="s">
        <v>1713</v>
      </c>
      <c r="H235" s="101" t="s">
        <v>132</v>
      </c>
      <c r="I235" s="138">
        <v>39132</v>
      </c>
      <c r="J235" s="99" t="s">
        <v>35</v>
      </c>
      <c r="K235" s="90" t="e">
        <f>PROPER(#REF!)</f>
        <v>#REF!</v>
      </c>
      <c r="L235" s="99" t="s">
        <v>437</v>
      </c>
      <c r="M235" s="99" t="s">
        <v>143</v>
      </c>
      <c r="N235" s="101" t="s">
        <v>740</v>
      </c>
      <c r="O235" s="101" t="s">
        <v>740</v>
      </c>
      <c r="P235" s="101" t="s">
        <v>741</v>
      </c>
      <c r="Q235" s="99">
        <v>37214</v>
      </c>
      <c r="R235" s="22"/>
      <c r="S235" s="102" t="s">
        <v>1714</v>
      </c>
      <c r="T235" s="21" t="str">
        <f>VLOOKUP(C235,'[1]TABEL SMA'!$C$8:$D$343,2,0)</f>
        <v>SMA NEGERI 1 BUNGO</v>
      </c>
      <c r="U235" s="22" t="str">
        <f>IFERROR(VLOOKUP(Table11[[#This Row],[Nama]],'[1]TABEL BEASISWA'!$B$4:$D$202,2,FALSE),"TIDAK")</f>
        <v>YA</v>
      </c>
      <c r="V235" s="83" t="str">
        <f>IFERROR(VLOOKUP(Table11[[#This Row],[Nama]],'[1]TABEL BEASISWA'!$B$4:$D$202,3,FALSE),"Tidak ada")</f>
        <v>Beasiswa 50%, Berprestasi/Kurang Mampu</v>
      </c>
      <c r="W235" s="24" t="str">
        <f>IFERROR(VLOOKUP(Table11[[#This Row],[Nama]],'[1]TABEL BEASISWA'!$B$4:$E$202,4,FALSE)," ")</f>
        <v>Angkatan 5</v>
      </c>
      <c r="X235" s="91" t="s">
        <v>1528</v>
      </c>
      <c r="Y235" s="96" t="s">
        <v>1529</v>
      </c>
      <c r="Z235" s="96" t="s">
        <v>1549</v>
      </c>
      <c r="AA235" s="97">
        <v>45936</v>
      </c>
      <c r="AB235" s="91" t="s">
        <v>1531</v>
      </c>
      <c r="AC235" s="130">
        <v>1001001</v>
      </c>
      <c r="AD235" s="130">
        <v>150813</v>
      </c>
      <c r="AE235" s="130">
        <v>1508131001</v>
      </c>
      <c r="AF235" s="130" t="s">
        <v>2346</v>
      </c>
    </row>
    <row r="236" spans="1:32" ht="42">
      <c r="A236" s="76">
        <f t="shared" si="6"/>
        <v>235</v>
      </c>
      <c r="B236" s="87">
        <f t="shared" si="6"/>
        <v>2230125236</v>
      </c>
      <c r="C236" s="88" t="s">
        <v>1715</v>
      </c>
      <c r="D236" s="89" t="s">
        <v>1716</v>
      </c>
      <c r="E236" s="89" t="s">
        <v>1717</v>
      </c>
      <c r="F236" s="87" t="s">
        <v>67</v>
      </c>
      <c r="G236" s="89" t="s">
        <v>1718</v>
      </c>
      <c r="H236" s="89" t="s">
        <v>454</v>
      </c>
      <c r="I236" s="137" t="s">
        <v>1719</v>
      </c>
      <c r="J236" s="87" t="s">
        <v>35</v>
      </c>
      <c r="K236" s="90" t="e">
        <f>PROPER(#REF!)</f>
        <v>#REF!</v>
      </c>
      <c r="L236" s="87" t="s">
        <v>79</v>
      </c>
      <c r="M236" s="87" t="s">
        <v>60</v>
      </c>
      <c r="N236" s="89" t="s">
        <v>527</v>
      </c>
      <c r="O236" s="89" t="s">
        <v>527</v>
      </c>
      <c r="P236" s="89" t="s">
        <v>526</v>
      </c>
      <c r="Q236" s="87">
        <v>17421</v>
      </c>
      <c r="R236" s="22"/>
      <c r="S236" s="102" t="s">
        <v>52</v>
      </c>
      <c r="T236" s="21" t="str">
        <f>VLOOKUP(C236,'[1]TABEL SMA'!$C$8:$D$343,2,0)</f>
        <v>SMA ISLAM PB SOEDIRMAN BEKASI 1</v>
      </c>
      <c r="U236" s="22" t="str">
        <f>IFERROR(VLOOKUP(Table11[[#This Row],[Nama]],'[1]TABEL BEASISWA'!$B$4:$D$202,2,FALSE),"TIDAK")</f>
        <v>TIDAK</v>
      </c>
      <c r="V236" s="83" t="str">
        <f>IFERROR(VLOOKUP(Table11[[#This Row],[Nama]],'[1]TABEL BEASISWA'!$B$4:$D$202,3,FALSE),"Tidak ada")</f>
        <v>Tidak ada</v>
      </c>
      <c r="W236" s="24" t="str">
        <f>IFERROR(VLOOKUP(Table11[[#This Row],[Nama]],'[1]TABEL BEASISWA'!$B$4:$E$202,4,FALSE)," ")</f>
        <v xml:space="preserve"> </v>
      </c>
      <c r="X236" s="91" t="s">
        <v>1528</v>
      </c>
      <c r="Y236" s="96" t="s">
        <v>1529</v>
      </c>
      <c r="Z236" s="96" t="s">
        <v>1530</v>
      </c>
      <c r="AA236" s="97">
        <v>45936</v>
      </c>
      <c r="AB236" s="91" t="s">
        <v>1531</v>
      </c>
      <c r="AC236" s="130">
        <v>1001001</v>
      </c>
      <c r="AD236" s="130">
        <v>327509</v>
      </c>
      <c r="AE236" s="130">
        <v>3275091003</v>
      </c>
      <c r="AF236" s="130" t="s">
        <v>2346</v>
      </c>
    </row>
    <row r="237" spans="1:32" ht="28">
      <c r="A237" s="76">
        <f t="shared" si="6"/>
        <v>236</v>
      </c>
      <c r="B237" s="99">
        <f t="shared" si="6"/>
        <v>2230125237</v>
      </c>
      <c r="C237" s="100" t="s">
        <v>1720</v>
      </c>
      <c r="D237" s="101" t="s">
        <v>1721</v>
      </c>
      <c r="E237" s="101" t="s">
        <v>1722</v>
      </c>
      <c r="F237" s="99" t="s">
        <v>32</v>
      </c>
      <c r="G237" s="101" t="s">
        <v>1723</v>
      </c>
      <c r="H237" s="101" t="s">
        <v>294</v>
      </c>
      <c r="I237" s="138">
        <v>39229</v>
      </c>
      <c r="J237" s="99" t="s">
        <v>35</v>
      </c>
      <c r="K237" s="90" t="e">
        <f>PROPER(#REF!)</f>
        <v>#REF!</v>
      </c>
      <c r="L237" s="99" t="s">
        <v>60</v>
      </c>
      <c r="M237" s="99" t="s">
        <v>437</v>
      </c>
      <c r="N237" s="101" t="s">
        <v>1724</v>
      </c>
      <c r="O237" s="101" t="s">
        <v>1724</v>
      </c>
      <c r="P237" s="101" t="s">
        <v>1725</v>
      </c>
      <c r="Q237" s="99">
        <v>15144</v>
      </c>
      <c r="R237" s="22"/>
      <c r="S237" s="102" t="s">
        <v>52</v>
      </c>
      <c r="T237" s="21" t="str">
        <f>VLOOKUP(C237,'[1]TABEL SMA'!$C$8:$D$343,2,0)</f>
        <v>SMA NEGERI 9 TANGERANG</v>
      </c>
      <c r="U237" s="22" t="str">
        <f>IFERROR(VLOOKUP(Table11[[#This Row],[Nama]],'[1]TABEL BEASISWA'!$B$4:$D$202,2,FALSE),"TIDAK")</f>
        <v>YA</v>
      </c>
      <c r="V237" s="83" t="str">
        <f>IFERROR(VLOOKUP(Table11[[#This Row],[Nama]],'[1]TABEL BEASISWA'!$B$4:$D$202,3,FALSE),"Tidak ada")</f>
        <v>Beasiswa 100%, Yayasan Karya Bhakti Adhyaksa</v>
      </c>
      <c r="W237" s="24" t="str">
        <f>IFERROR(VLOOKUP(Table11[[#This Row],[Nama]],'[1]TABEL BEASISWA'!$B$4:$E$202,4,FALSE)," ")</f>
        <v>Angkatan 5</v>
      </c>
      <c r="X237" s="91" t="s">
        <v>1528</v>
      </c>
      <c r="Y237" s="96" t="s">
        <v>1529</v>
      </c>
      <c r="Z237" s="96" t="s">
        <v>1582</v>
      </c>
      <c r="AA237" s="97">
        <v>45936</v>
      </c>
      <c r="AB237" s="91" t="s">
        <v>1531</v>
      </c>
      <c r="AC237" s="130">
        <v>1001001</v>
      </c>
      <c r="AD237" s="130">
        <v>367111</v>
      </c>
      <c r="AE237" s="130">
        <v>3671111004</v>
      </c>
      <c r="AF237" s="130" t="s">
        <v>2346</v>
      </c>
    </row>
    <row r="238" spans="1:32">
      <c r="A238" s="76">
        <f t="shared" si="6"/>
        <v>237</v>
      </c>
      <c r="B238" s="87">
        <f t="shared" si="6"/>
        <v>2230125238</v>
      </c>
      <c r="C238" s="88" t="s">
        <v>1726</v>
      </c>
      <c r="D238" s="89" t="s">
        <v>1727</v>
      </c>
      <c r="E238" s="89" t="s">
        <v>1728</v>
      </c>
      <c r="F238" s="87" t="s">
        <v>32</v>
      </c>
      <c r="G238" s="89" t="s">
        <v>1729</v>
      </c>
      <c r="H238" s="89" t="s">
        <v>34</v>
      </c>
      <c r="I238" s="137">
        <v>38804</v>
      </c>
      <c r="J238" s="87" t="s">
        <v>35</v>
      </c>
      <c r="K238" s="90" t="e">
        <f>PROPER(#REF!)</f>
        <v>#REF!</v>
      </c>
      <c r="L238" s="87" t="s">
        <v>437</v>
      </c>
      <c r="M238" s="87" t="s">
        <v>107</v>
      </c>
      <c r="N238" s="89" t="s">
        <v>1730</v>
      </c>
      <c r="O238" s="89" t="s">
        <v>1730</v>
      </c>
      <c r="P238" s="89" t="s">
        <v>1011</v>
      </c>
      <c r="Q238" s="87">
        <v>12610</v>
      </c>
      <c r="R238" s="22"/>
      <c r="S238" s="102" t="s">
        <v>52</v>
      </c>
      <c r="T238" s="21" t="str">
        <f>VLOOKUP(C238,'[1]TABEL SMA'!$C$8:$D$343,2,0)</f>
        <v xml:space="preserve">SMAS PRIBADI BEJI </v>
      </c>
      <c r="U238" s="22" t="str">
        <f>IFERROR(VLOOKUP(Table11[[#This Row],[Nama]],'[1]TABEL BEASISWA'!$B$4:$D$202,2,FALSE),"TIDAK")</f>
        <v>TIDAK</v>
      </c>
      <c r="V238" s="83" t="str">
        <f>IFERROR(VLOOKUP(Table11[[#This Row],[Nama]],'[1]TABEL BEASISWA'!$B$4:$D$202,3,FALSE),"Tidak ada")</f>
        <v>Tidak ada</v>
      </c>
      <c r="W238" s="24" t="str">
        <f>IFERROR(VLOOKUP(Table11[[#This Row],[Nama]],'[1]TABEL BEASISWA'!$B$4:$E$202,4,FALSE)," ")</f>
        <v xml:space="preserve"> </v>
      </c>
      <c r="X238" s="91" t="s">
        <v>1528</v>
      </c>
      <c r="Y238" s="96" t="s">
        <v>1529</v>
      </c>
      <c r="Z238" s="96" t="s">
        <v>1530</v>
      </c>
      <c r="AA238" s="97">
        <v>45936</v>
      </c>
      <c r="AB238" s="91" t="s">
        <v>1531</v>
      </c>
      <c r="AC238" s="130">
        <v>1001001</v>
      </c>
      <c r="AD238" s="130">
        <v>317409</v>
      </c>
      <c r="AE238" s="130">
        <v>3174091004</v>
      </c>
      <c r="AF238" s="130" t="s">
        <v>2346</v>
      </c>
    </row>
    <row r="239" spans="1:32" ht="28">
      <c r="A239" s="76">
        <f t="shared" si="6"/>
        <v>238</v>
      </c>
      <c r="B239" s="99">
        <f t="shared" si="6"/>
        <v>2230125239</v>
      </c>
      <c r="C239" s="100" t="s">
        <v>1731</v>
      </c>
      <c r="D239" s="100" t="s">
        <v>1732</v>
      </c>
      <c r="E239" s="101" t="s">
        <v>1733</v>
      </c>
      <c r="F239" s="99" t="s">
        <v>32</v>
      </c>
      <c r="G239" s="101" t="s">
        <v>1734</v>
      </c>
      <c r="H239" s="101" t="s">
        <v>77</v>
      </c>
      <c r="I239" s="138">
        <v>39068</v>
      </c>
      <c r="J239" s="99" t="s">
        <v>35</v>
      </c>
      <c r="K239" s="90" t="e">
        <f>PROPER(#REF!)</f>
        <v>#REF!</v>
      </c>
      <c r="L239" s="99" t="s">
        <v>61</v>
      </c>
      <c r="M239" s="99" t="s">
        <v>917</v>
      </c>
      <c r="N239" s="101" t="s">
        <v>1735</v>
      </c>
      <c r="O239" s="101" t="s">
        <v>1735</v>
      </c>
      <c r="P239" s="101" t="s">
        <v>1736</v>
      </c>
      <c r="Q239" s="99">
        <v>16157</v>
      </c>
      <c r="R239" s="22"/>
      <c r="S239" s="102" t="s">
        <v>365</v>
      </c>
      <c r="T239" s="21" t="str">
        <f>VLOOKUP(C239,'[1]TABEL SMA'!$C$8:$D$343,2,0)</f>
        <v>SMA YPHB BOGOR</v>
      </c>
      <c r="U239" s="22" t="str">
        <f>IFERROR(VLOOKUP(Table11[[#This Row],[Nama]],'[1]TABEL BEASISWA'!$B$4:$D$202,2,FALSE),"TIDAK")</f>
        <v>YA</v>
      </c>
      <c r="V239" s="83" t="str">
        <f>IFERROR(VLOOKUP(Table11[[#This Row],[Nama]],'[1]TABEL BEASISWA'!$B$4:$D$202,3,FALSE),"Tidak ada")</f>
        <v>Beasiswa 50%, Berprestasi/Kurang Mampu</v>
      </c>
      <c r="W239" s="24" t="str">
        <f>IFERROR(VLOOKUP(Table11[[#This Row],[Nama]],'[1]TABEL BEASISWA'!$B$4:$E$202,4,FALSE)," ")</f>
        <v>Angkatan 5</v>
      </c>
      <c r="X239" s="91" t="s">
        <v>1528</v>
      </c>
      <c r="Y239" s="96" t="s">
        <v>1529</v>
      </c>
      <c r="Z239" s="96" t="s">
        <v>1549</v>
      </c>
      <c r="AA239" s="97">
        <v>45936</v>
      </c>
      <c r="AB239" s="91" t="s">
        <v>1531</v>
      </c>
      <c r="AC239" s="130">
        <v>1001001</v>
      </c>
      <c r="AD239" s="130">
        <v>327105</v>
      </c>
      <c r="AE239" s="130">
        <v>3271051004</v>
      </c>
      <c r="AF239" s="130" t="s">
        <v>2347</v>
      </c>
    </row>
    <row r="240" spans="1:32" ht="28">
      <c r="A240" s="76">
        <f t="shared" si="6"/>
        <v>239</v>
      </c>
      <c r="B240" s="87">
        <f t="shared" si="6"/>
        <v>2230125240</v>
      </c>
      <c r="C240" s="88" t="s">
        <v>1737</v>
      </c>
      <c r="D240" s="89" t="s">
        <v>1738</v>
      </c>
      <c r="E240" s="89" t="s">
        <v>1739</v>
      </c>
      <c r="F240" s="87" t="s">
        <v>32</v>
      </c>
      <c r="G240" s="89" t="s">
        <v>1740</v>
      </c>
      <c r="H240" s="89" t="s">
        <v>1741</v>
      </c>
      <c r="I240" s="137">
        <v>38211</v>
      </c>
      <c r="J240" s="87" t="s">
        <v>35</v>
      </c>
      <c r="K240" s="90" t="e">
        <f>PROPER(#REF!)</f>
        <v>#REF!</v>
      </c>
      <c r="L240" s="87" t="s">
        <v>1043</v>
      </c>
      <c r="M240" s="87" t="s">
        <v>1043</v>
      </c>
      <c r="N240" s="89" t="s">
        <v>1742</v>
      </c>
      <c r="O240" s="89" t="s">
        <v>1743</v>
      </c>
      <c r="P240" s="89" t="s">
        <v>1744</v>
      </c>
      <c r="Q240" s="87">
        <v>24252</v>
      </c>
      <c r="R240" s="22"/>
      <c r="S240" s="102" t="s">
        <v>52</v>
      </c>
      <c r="T240" s="21" t="str">
        <f>VLOOKUP(C240,'[1]TABEL SMA'!$C$8:$D$343,2,0)</f>
        <v>SMA NEGERI 1 BIREUEN</v>
      </c>
      <c r="U240" s="22" t="str">
        <f>IFERROR(VLOOKUP(Table11[[#This Row],[Nama]],'[1]TABEL BEASISWA'!$B$4:$D$202,2,FALSE),"TIDAK")</f>
        <v>YA</v>
      </c>
      <c r="V240" s="83" t="str">
        <f>IFERROR(VLOOKUP(Table11[[#This Row],[Nama]],'[1]TABEL BEASISWA'!$B$4:$D$202,3,FALSE),"Tidak ada")</f>
        <v>Beasiswa 70%, Berprestasi/Kurang Mampu</v>
      </c>
      <c r="W240" s="24" t="str">
        <f>IFERROR(VLOOKUP(Table11[[#This Row],[Nama]],'[1]TABEL BEASISWA'!$B$4:$E$202,4,FALSE)," ")</f>
        <v>Angkatan 5</v>
      </c>
      <c r="X240" s="91" t="s">
        <v>1528</v>
      </c>
      <c r="Y240" s="96" t="s">
        <v>1529</v>
      </c>
      <c r="Z240" s="96" t="s">
        <v>1564</v>
      </c>
      <c r="AA240" s="97">
        <v>45936</v>
      </c>
      <c r="AB240" s="91" t="s">
        <v>1531</v>
      </c>
      <c r="AC240" s="130">
        <v>1001001</v>
      </c>
      <c r="AD240" s="130">
        <v>111113</v>
      </c>
      <c r="AE240" s="130">
        <v>1111132022</v>
      </c>
      <c r="AF240" s="130" t="s">
        <v>2346</v>
      </c>
    </row>
    <row r="241" spans="1:32" ht="28">
      <c r="A241" s="76">
        <f t="shared" si="6"/>
        <v>240</v>
      </c>
      <c r="B241" s="99">
        <f t="shared" si="6"/>
        <v>2230125241</v>
      </c>
      <c r="C241" s="100" t="s">
        <v>1745</v>
      </c>
      <c r="D241" s="101" t="s">
        <v>1746</v>
      </c>
      <c r="E241" s="101" t="s">
        <v>1747</v>
      </c>
      <c r="F241" s="99" t="s">
        <v>32</v>
      </c>
      <c r="G241" s="101" t="s">
        <v>1748</v>
      </c>
      <c r="H241" s="101" t="s">
        <v>34</v>
      </c>
      <c r="I241" s="138" t="s">
        <v>1749</v>
      </c>
      <c r="J241" s="99" t="s">
        <v>35</v>
      </c>
      <c r="K241" s="90" t="e">
        <f>PROPER(#REF!)</f>
        <v>#REF!</v>
      </c>
      <c r="L241" s="99" t="s">
        <v>338</v>
      </c>
      <c r="M241" s="99" t="s">
        <v>79</v>
      </c>
      <c r="N241" s="101" t="s">
        <v>1750</v>
      </c>
      <c r="O241" s="101" t="s">
        <v>1751</v>
      </c>
      <c r="P241" s="101" t="s">
        <v>1064</v>
      </c>
      <c r="Q241" s="99">
        <v>12840</v>
      </c>
      <c r="R241" s="22"/>
      <c r="S241" s="102" t="s">
        <v>52</v>
      </c>
      <c r="T241" s="21" t="str">
        <f>VLOOKUP(C241,'[1]TABEL SMA'!$C$8:$D$343,2,0)</f>
        <v>SMAS 17 AGUSTUS 1945 JAKARTA</v>
      </c>
      <c r="U241" s="22" t="str">
        <f>IFERROR(VLOOKUP(Table11[[#This Row],[Nama]],'[1]TABEL BEASISWA'!$B$4:$D$202,2,FALSE),"TIDAK")</f>
        <v>TIDAK</v>
      </c>
      <c r="V241" s="83" t="str">
        <f>IFERROR(VLOOKUP(Table11[[#This Row],[Nama]],'[1]TABEL BEASISWA'!$B$4:$D$202,3,FALSE),"Tidak ada")</f>
        <v>Tidak ada</v>
      </c>
      <c r="W241" s="24" t="str">
        <f>IFERROR(VLOOKUP(Table11[[#This Row],[Nama]],'[1]TABEL BEASISWA'!$B$4:$E$202,4,FALSE)," ")</f>
        <v xml:space="preserve"> </v>
      </c>
      <c r="X241" s="91" t="s">
        <v>1528</v>
      </c>
      <c r="Y241" s="96" t="s">
        <v>1529</v>
      </c>
      <c r="Z241" s="96" t="s">
        <v>1530</v>
      </c>
      <c r="AA241" s="97">
        <v>45936</v>
      </c>
      <c r="AB241" s="91" t="s">
        <v>1531</v>
      </c>
      <c r="AC241" s="130">
        <v>1001001</v>
      </c>
      <c r="AD241" s="130">
        <v>317401</v>
      </c>
      <c r="AE241" s="130">
        <v>3174011005</v>
      </c>
      <c r="AF241" s="130" t="s">
        <v>2346</v>
      </c>
    </row>
    <row r="242" spans="1:32" ht="28">
      <c r="A242" s="76">
        <f t="shared" si="6"/>
        <v>241</v>
      </c>
      <c r="B242" s="87">
        <f t="shared" si="6"/>
        <v>2230125242</v>
      </c>
      <c r="C242" s="88" t="s">
        <v>1752</v>
      </c>
      <c r="D242" s="89" t="s">
        <v>1753</v>
      </c>
      <c r="E242" s="89" t="s">
        <v>1754</v>
      </c>
      <c r="F242" s="87" t="s">
        <v>32</v>
      </c>
      <c r="G242" s="89" t="s">
        <v>1755</v>
      </c>
      <c r="H242" s="89" t="s">
        <v>294</v>
      </c>
      <c r="I242" s="137">
        <v>39097</v>
      </c>
      <c r="J242" s="87" t="s">
        <v>35</v>
      </c>
      <c r="K242" s="90" t="e">
        <f>PROPER(#REF!)</f>
        <v>#REF!</v>
      </c>
      <c r="L242" s="87" t="s">
        <v>50</v>
      </c>
      <c r="M242" s="87" t="s">
        <v>480</v>
      </c>
      <c r="N242" s="89" t="s">
        <v>1756</v>
      </c>
      <c r="O242" s="89" t="s">
        <v>1756</v>
      </c>
      <c r="P242" s="89" t="s">
        <v>145</v>
      </c>
      <c r="Q242" s="87">
        <v>12240</v>
      </c>
      <c r="R242" s="22"/>
      <c r="S242" s="102" t="s">
        <v>1757</v>
      </c>
      <c r="T242" s="21" t="str">
        <f>VLOOKUP(C242,'[1]TABEL SMA'!$C$8:$D$343,2,0)</f>
        <v>SMA NEGERI 32 JAKARTA</v>
      </c>
      <c r="U242" s="22" t="str">
        <f>IFERROR(VLOOKUP(Table11[[#This Row],[Nama]],'[1]TABEL BEASISWA'!$B$4:$D$202,2,FALSE),"TIDAK")</f>
        <v>YA</v>
      </c>
      <c r="V242" s="83" t="str">
        <f>IFERROR(VLOOKUP(Table11[[#This Row],[Nama]],'[1]TABEL BEASISWA'!$B$4:$D$202,3,FALSE),"Tidak ada")</f>
        <v>Beasiswa 100%, IFG</v>
      </c>
      <c r="W242" s="24" t="str">
        <f>IFERROR(VLOOKUP(Table11[[#This Row],[Nama]],'[1]TABEL BEASISWA'!$B$4:$E$202,4,FALSE)," ")</f>
        <v>Angkatan 5</v>
      </c>
      <c r="X242" s="91" t="s">
        <v>1528</v>
      </c>
      <c r="Y242" s="96" t="s">
        <v>1529</v>
      </c>
      <c r="Z242" s="96" t="s">
        <v>1582</v>
      </c>
      <c r="AA242" s="97">
        <v>45936</v>
      </c>
      <c r="AB242" s="91" t="s">
        <v>1531</v>
      </c>
      <c r="AC242" s="130">
        <v>1001001</v>
      </c>
      <c r="AD242" s="130">
        <v>317405</v>
      </c>
      <c r="AE242" s="130">
        <v>3174051006</v>
      </c>
      <c r="AF242" s="130" t="s">
        <v>2349</v>
      </c>
    </row>
    <row r="243" spans="1:32" ht="42">
      <c r="A243" s="76">
        <f t="shared" si="6"/>
        <v>242</v>
      </c>
      <c r="B243" s="99">
        <f t="shared" si="6"/>
        <v>2230125243</v>
      </c>
      <c r="C243" s="100" t="s">
        <v>1758</v>
      </c>
      <c r="D243" s="101" t="s">
        <v>1759</v>
      </c>
      <c r="E243" s="101" t="s">
        <v>1760</v>
      </c>
      <c r="F243" s="99" t="s">
        <v>32</v>
      </c>
      <c r="G243" s="101" t="s">
        <v>1761</v>
      </c>
      <c r="H243" s="101" t="s">
        <v>294</v>
      </c>
      <c r="I243" s="138">
        <v>39151</v>
      </c>
      <c r="J243" s="99" t="s">
        <v>35</v>
      </c>
      <c r="K243" s="90" t="e">
        <f>PROPER(#REF!)</f>
        <v>#REF!</v>
      </c>
      <c r="L243" s="104" t="s">
        <v>140</v>
      </c>
      <c r="M243" s="104" t="s">
        <v>140</v>
      </c>
      <c r="N243" s="101" t="s">
        <v>1762</v>
      </c>
      <c r="O243" s="101" t="s">
        <v>1762</v>
      </c>
      <c r="P243" s="101" t="s">
        <v>1763</v>
      </c>
      <c r="Q243" s="99">
        <v>15323</v>
      </c>
      <c r="R243" s="22"/>
      <c r="S243" s="102" t="s">
        <v>52</v>
      </c>
      <c r="T243" s="21" t="str">
        <f>VLOOKUP(C243,'[1]TABEL SMA'!$C$8:$D$343,2,0)</f>
        <v>SMAN 7 KOTA TANGERANG SELATAN</v>
      </c>
      <c r="U243" s="22" t="str">
        <f>IFERROR(VLOOKUP(Table11[[#This Row],[Nama]],'[1]TABEL BEASISWA'!$B$4:$D$202,2,FALSE),"TIDAK")</f>
        <v>TIDAK</v>
      </c>
      <c r="V243" s="83" t="str">
        <f>IFERROR(VLOOKUP(Table11[[#This Row],[Nama]],'[1]TABEL BEASISWA'!$B$4:$D$202,3,FALSE),"Tidak ada")</f>
        <v>Tidak ada</v>
      </c>
      <c r="W243" s="24" t="str">
        <f>IFERROR(VLOOKUP(Table11[[#This Row],[Nama]],'[1]TABEL BEASISWA'!$B$4:$E$202,4,FALSE)," ")</f>
        <v xml:space="preserve"> </v>
      </c>
      <c r="X243" s="91" t="s">
        <v>1528</v>
      </c>
      <c r="Y243" s="96" t="s">
        <v>1529</v>
      </c>
      <c r="Z243" s="96" t="s">
        <v>1530</v>
      </c>
      <c r="AA243" s="97">
        <v>45936</v>
      </c>
      <c r="AB243" s="91" t="s">
        <v>1531</v>
      </c>
      <c r="AC243" s="130">
        <v>1001001</v>
      </c>
      <c r="AD243" s="130">
        <v>367402</v>
      </c>
      <c r="AE243" s="130">
        <v>3674021004</v>
      </c>
      <c r="AF243" s="130" t="s">
        <v>2346</v>
      </c>
    </row>
    <row r="244" spans="1:32" ht="28">
      <c r="A244" s="76">
        <f t="shared" si="6"/>
        <v>243</v>
      </c>
      <c r="B244" s="87">
        <f t="shared" si="6"/>
        <v>2230125244</v>
      </c>
      <c r="C244" s="88" t="s">
        <v>1764</v>
      </c>
      <c r="D244" s="89" t="s">
        <v>1765</v>
      </c>
      <c r="E244" s="89" t="s">
        <v>1766</v>
      </c>
      <c r="F244" s="87" t="s">
        <v>32</v>
      </c>
      <c r="G244" s="89" t="s">
        <v>1767</v>
      </c>
      <c r="H244" s="89" t="s">
        <v>34</v>
      </c>
      <c r="I244" s="137">
        <v>39352</v>
      </c>
      <c r="J244" s="87" t="s">
        <v>35</v>
      </c>
      <c r="K244" s="90" t="e">
        <f>PROPER(#REF!)</f>
        <v>#REF!</v>
      </c>
      <c r="L244" s="103" t="s">
        <v>140</v>
      </c>
      <c r="M244" s="103" t="s">
        <v>140</v>
      </c>
      <c r="N244" s="89" t="s">
        <v>1768</v>
      </c>
      <c r="O244" s="89" t="s">
        <v>1768</v>
      </c>
      <c r="P244" s="89" t="s">
        <v>1769</v>
      </c>
      <c r="Q244" s="87">
        <v>16968</v>
      </c>
      <c r="R244" s="22"/>
      <c r="S244" s="102" t="s">
        <v>52</v>
      </c>
      <c r="T244" s="21" t="str">
        <f>VLOOKUP(C244,'[1]TABEL SMA'!$C$8:$D$343,2,0)</f>
        <v xml:space="preserve">SEKOLAH PILAR INDONESIA </v>
      </c>
      <c r="U244" s="22" t="str">
        <f>IFERROR(VLOOKUP(Table11[[#This Row],[Nama]],'[1]TABEL BEASISWA'!$B$4:$D$202,2,FALSE),"TIDAK")</f>
        <v>TIDAK</v>
      </c>
      <c r="V244" s="83" t="str">
        <f>IFERROR(VLOOKUP(Table11[[#This Row],[Nama]],'[1]TABEL BEASISWA'!$B$4:$D$202,3,FALSE),"Tidak ada")</f>
        <v>Tidak ada</v>
      </c>
      <c r="W244" s="24" t="str">
        <f>IFERROR(VLOOKUP(Table11[[#This Row],[Nama]],'[1]TABEL BEASISWA'!$B$4:$E$202,4,FALSE)," ")</f>
        <v xml:space="preserve"> </v>
      </c>
      <c r="X244" s="91" t="s">
        <v>1528</v>
      </c>
      <c r="Y244" s="96" t="s">
        <v>1529</v>
      </c>
      <c r="Z244" s="96" t="s">
        <v>1530</v>
      </c>
      <c r="AA244" s="97">
        <v>45936</v>
      </c>
      <c r="AB244" s="91" t="s">
        <v>1531</v>
      </c>
      <c r="AC244" s="130">
        <v>1001001</v>
      </c>
      <c r="AD244" s="130">
        <v>320102</v>
      </c>
      <c r="AE244" s="130">
        <v>3201022003</v>
      </c>
      <c r="AF244" s="130" t="s">
        <v>2346</v>
      </c>
    </row>
    <row r="245" spans="1:32">
      <c r="A245" s="76">
        <f t="shared" si="6"/>
        <v>244</v>
      </c>
      <c r="B245" s="99">
        <f t="shared" si="6"/>
        <v>2230125245</v>
      </c>
      <c r="C245" s="100" t="s">
        <v>1770</v>
      </c>
      <c r="D245" s="101" t="s">
        <v>1771</v>
      </c>
      <c r="E245" s="101" t="s">
        <v>1772</v>
      </c>
      <c r="F245" s="99" t="s">
        <v>67</v>
      </c>
      <c r="G245" s="101" t="s">
        <v>1773</v>
      </c>
      <c r="H245" s="101" t="s">
        <v>294</v>
      </c>
      <c r="I245" s="138">
        <v>39256</v>
      </c>
      <c r="J245" s="99" t="s">
        <v>35</v>
      </c>
      <c r="K245" s="90" t="e">
        <f>PROPER(#REF!)</f>
        <v>#REF!</v>
      </c>
      <c r="L245" s="99" t="s">
        <v>143</v>
      </c>
      <c r="M245" s="99" t="s">
        <v>143</v>
      </c>
      <c r="N245" s="101" t="s">
        <v>1774</v>
      </c>
      <c r="O245" s="101" t="s">
        <v>1774</v>
      </c>
      <c r="P245" s="101" t="s">
        <v>1775</v>
      </c>
      <c r="Q245" s="99">
        <v>15214</v>
      </c>
      <c r="R245" s="22"/>
      <c r="S245" s="102" t="s">
        <v>458</v>
      </c>
      <c r="T245" s="21" t="str">
        <f>VLOOKUP(C245,'[1]TABEL SMA'!$C$8:$D$343,2,0)</f>
        <v xml:space="preserve">SMA AL-MULTAZAM </v>
      </c>
      <c r="U245" s="22" t="str">
        <f>IFERROR(VLOOKUP(Table11[[#This Row],[Nama]],'[1]TABEL BEASISWA'!$B$4:$D$202,2,FALSE),"TIDAK")</f>
        <v>YA</v>
      </c>
      <c r="V245" s="83" t="str">
        <f>IFERROR(VLOOKUP(Table11[[#This Row],[Nama]],'[1]TABEL BEASISWA'!$B$4:$D$202,3,FALSE),"Tidak ada")</f>
        <v>Beasiswa 100%, IFG</v>
      </c>
      <c r="W245" s="24" t="str">
        <f>IFERROR(VLOOKUP(Table11[[#This Row],[Nama]],'[1]TABEL BEASISWA'!$B$4:$E$202,4,FALSE)," ")</f>
        <v>Angkatan 5</v>
      </c>
      <c r="X245" s="91" t="s">
        <v>1528</v>
      </c>
      <c r="Y245" s="96" t="s">
        <v>1529</v>
      </c>
      <c r="Z245" s="96" t="s">
        <v>1582</v>
      </c>
      <c r="AA245" s="97">
        <v>45936</v>
      </c>
      <c r="AB245" s="91" t="s">
        <v>1531</v>
      </c>
      <c r="AC245" s="130">
        <v>1001001</v>
      </c>
      <c r="AD245" s="130">
        <v>360314</v>
      </c>
      <c r="AE245" s="130">
        <v>3603141003</v>
      </c>
      <c r="AF245" s="130" t="s">
        <v>2348</v>
      </c>
    </row>
    <row r="246" spans="1:32" ht="28">
      <c r="A246" s="76">
        <f t="shared" ref="A246:B261" si="7">A245+1</f>
        <v>245</v>
      </c>
      <c r="B246" s="87">
        <f t="shared" si="7"/>
        <v>2230125246</v>
      </c>
      <c r="C246" s="88" t="s">
        <v>1776</v>
      </c>
      <c r="D246" s="89" t="s">
        <v>1777</v>
      </c>
      <c r="E246" s="89" t="s">
        <v>1778</v>
      </c>
      <c r="F246" s="87" t="s">
        <v>67</v>
      </c>
      <c r="G246" s="89" t="s">
        <v>1779</v>
      </c>
      <c r="H246" s="89" t="s">
        <v>222</v>
      </c>
      <c r="I246" s="137" t="s">
        <v>1780</v>
      </c>
      <c r="J246" s="87" t="s">
        <v>35</v>
      </c>
      <c r="K246" s="90" t="e">
        <f>PROPER(#REF!)</f>
        <v>#REF!</v>
      </c>
      <c r="L246" s="87" t="s">
        <v>79</v>
      </c>
      <c r="M246" s="87" t="s">
        <v>143</v>
      </c>
      <c r="N246" s="89" t="s">
        <v>1781</v>
      </c>
      <c r="O246" s="89" t="s">
        <v>1782</v>
      </c>
      <c r="P246" s="89" t="s">
        <v>297</v>
      </c>
      <c r="Q246" s="87">
        <v>43216</v>
      </c>
      <c r="R246" s="22"/>
      <c r="S246" s="102" t="s">
        <v>52</v>
      </c>
      <c r="T246" s="21" t="str">
        <f>VLOOKUP(C246,'[1]TABEL SMA'!$C$8:$D$343,2,0)</f>
        <v xml:space="preserve">SMA NEGERI 2 CIANJUR </v>
      </c>
      <c r="U246" s="22" t="str">
        <f>IFERROR(VLOOKUP(Table11[[#This Row],[Nama]],'[1]TABEL BEASISWA'!$B$4:$D$202,2,FALSE),"TIDAK")</f>
        <v>YA</v>
      </c>
      <c r="V246" s="83" t="str">
        <f>IFERROR(VLOOKUP(Table11[[#This Row],[Nama]],'[1]TABEL BEASISWA'!$B$4:$D$202,3,FALSE),"Tidak ada")</f>
        <v>Beasiswa 100%, Yayasan Karya Bhakti Adhyaksa</v>
      </c>
      <c r="W246" s="24" t="str">
        <f>IFERROR(VLOOKUP(Table11[[#This Row],[Nama]],'[1]TABEL BEASISWA'!$B$4:$E$202,4,FALSE)," ")</f>
        <v>Angkatan 5</v>
      </c>
      <c r="X246" s="91" t="s">
        <v>1528</v>
      </c>
      <c r="Y246" s="96" t="s">
        <v>1529</v>
      </c>
      <c r="Z246" s="96" t="s">
        <v>1582</v>
      </c>
      <c r="AA246" s="97">
        <v>45936</v>
      </c>
      <c r="AB246" s="91" t="s">
        <v>1531</v>
      </c>
      <c r="AC246" s="130">
        <v>1001001</v>
      </c>
      <c r="AD246" s="130">
        <v>320301</v>
      </c>
      <c r="AE246" s="130">
        <v>3203011008</v>
      </c>
      <c r="AF246" s="130" t="s">
        <v>2346</v>
      </c>
    </row>
    <row r="247" spans="1:32" ht="28">
      <c r="A247" s="76">
        <f t="shared" si="7"/>
        <v>246</v>
      </c>
      <c r="B247" s="99">
        <f t="shared" si="7"/>
        <v>2230125247</v>
      </c>
      <c r="C247" s="100" t="s">
        <v>1783</v>
      </c>
      <c r="D247" s="100" t="s">
        <v>1784</v>
      </c>
      <c r="E247" s="101" t="s">
        <v>1785</v>
      </c>
      <c r="F247" s="99" t="s">
        <v>67</v>
      </c>
      <c r="G247" s="101" t="s">
        <v>1786</v>
      </c>
      <c r="H247" s="101" t="s">
        <v>1787</v>
      </c>
      <c r="I247" s="138" t="s">
        <v>1788</v>
      </c>
      <c r="J247" s="99" t="s">
        <v>35</v>
      </c>
      <c r="K247" s="90" t="e">
        <f>PROPER(#REF!)</f>
        <v>#REF!</v>
      </c>
      <c r="L247" s="99" t="s">
        <v>49</v>
      </c>
      <c r="M247" s="99" t="s">
        <v>169</v>
      </c>
      <c r="N247" s="101" t="s">
        <v>1789</v>
      </c>
      <c r="O247" s="101" t="s">
        <v>1789</v>
      </c>
      <c r="P247" s="101" t="s">
        <v>145</v>
      </c>
      <c r="Q247" s="99">
        <v>12310</v>
      </c>
      <c r="R247" s="22"/>
      <c r="S247" s="102" t="s">
        <v>52</v>
      </c>
      <c r="T247" s="21" t="str">
        <f>VLOOKUP(C247,'[1]TABEL SMA'!$C$8:$D$343,2,0)</f>
        <v>SMAS GITA KIRTTI 3 JAKARTA</v>
      </c>
      <c r="U247" s="22" t="str">
        <f>IFERROR(VLOOKUP(Table11[[#This Row],[Nama]],'[1]TABEL BEASISWA'!$B$4:$D$202,2,FALSE),"TIDAK")</f>
        <v>TIDAK</v>
      </c>
      <c r="V247" s="83" t="str">
        <f>IFERROR(VLOOKUP(Table11[[#This Row],[Nama]],'[1]TABEL BEASISWA'!$B$4:$D$202,3,FALSE),"Tidak ada")</f>
        <v>Tidak ada</v>
      </c>
      <c r="W247" s="24" t="str">
        <f>IFERROR(VLOOKUP(Table11[[#This Row],[Nama]],'[1]TABEL BEASISWA'!$B$4:$E$202,4,FALSE)," ")</f>
        <v xml:space="preserve"> </v>
      </c>
      <c r="X247" s="91" t="s">
        <v>1528</v>
      </c>
      <c r="Y247" s="96" t="s">
        <v>1529</v>
      </c>
      <c r="Z247" s="96" t="s">
        <v>1530</v>
      </c>
      <c r="AA247" s="97">
        <v>45936</v>
      </c>
      <c r="AB247" s="91" t="s">
        <v>1531</v>
      </c>
      <c r="AC247" s="130">
        <v>1001001</v>
      </c>
      <c r="AD247" s="130">
        <v>317405</v>
      </c>
      <c r="AE247" s="130">
        <v>3174051002</v>
      </c>
      <c r="AF247" s="130" t="s">
        <v>2346</v>
      </c>
    </row>
    <row r="248" spans="1:32" ht="28">
      <c r="A248" s="76">
        <f t="shared" si="7"/>
        <v>247</v>
      </c>
      <c r="B248" s="87">
        <f t="shared" si="7"/>
        <v>2230125248</v>
      </c>
      <c r="C248" s="88" t="s">
        <v>1790</v>
      </c>
      <c r="D248" s="89" t="s">
        <v>1791</v>
      </c>
      <c r="E248" s="89" t="s">
        <v>1792</v>
      </c>
      <c r="F248" s="87" t="s">
        <v>67</v>
      </c>
      <c r="G248" s="89" t="s">
        <v>1793</v>
      </c>
      <c r="H248" s="89" t="s">
        <v>34</v>
      </c>
      <c r="I248" s="137">
        <v>39409</v>
      </c>
      <c r="J248" s="87" t="s">
        <v>35</v>
      </c>
      <c r="K248" s="90" t="e">
        <f>PROPER(#REF!)</f>
        <v>#REF!</v>
      </c>
      <c r="L248" s="87" t="s">
        <v>79</v>
      </c>
      <c r="M248" s="87" t="s">
        <v>169</v>
      </c>
      <c r="N248" s="89" t="s">
        <v>1794</v>
      </c>
      <c r="O248" s="89" t="s">
        <v>1010</v>
      </c>
      <c r="P248" s="89" t="s">
        <v>1011</v>
      </c>
      <c r="Q248" s="87">
        <v>12620</v>
      </c>
      <c r="R248" s="22"/>
      <c r="S248" s="102" t="s">
        <v>52</v>
      </c>
      <c r="T248" s="21" t="str">
        <f>VLOOKUP(C248,'[1]TABEL SMA'!$C$8:$D$343,2,0)</f>
        <v>SMA BUNDA KANDUNG</v>
      </c>
      <c r="U248" s="22" t="str">
        <f>IFERROR(VLOOKUP(Table11[[#This Row],[Nama]],'[1]TABEL BEASISWA'!$B$4:$D$202,2,FALSE),"TIDAK")</f>
        <v>TIDAK</v>
      </c>
      <c r="V248" s="83" t="str">
        <f>IFERROR(VLOOKUP(Table11[[#This Row],[Nama]],'[1]TABEL BEASISWA'!$B$4:$D$202,3,FALSE),"Tidak ada")</f>
        <v>Tidak ada</v>
      </c>
      <c r="W248" s="24" t="str">
        <f>IFERROR(VLOOKUP(Table11[[#This Row],[Nama]],'[1]TABEL BEASISWA'!$B$4:$E$202,4,FALSE)," ")</f>
        <v xml:space="preserve"> </v>
      </c>
      <c r="X248" s="91" t="s">
        <v>1528</v>
      </c>
      <c r="Y248" s="96" t="s">
        <v>1529</v>
      </c>
      <c r="Z248" s="96" t="s">
        <v>1530</v>
      </c>
      <c r="AA248" s="97">
        <v>45936</v>
      </c>
      <c r="AB248" s="91" t="s">
        <v>1531</v>
      </c>
      <c r="AC248" s="130">
        <v>1001001</v>
      </c>
      <c r="AD248" s="130">
        <v>317409</v>
      </c>
      <c r="AE248" s="130">
        <v>3174091005</v>
      </c>
      <c r="AF248" s="130" t="s">
        <v>2346</v>
      </c>
    </row>
    <row r="249" spans="1:32">
      <c r="A249" s="76">
        <f t="shared" si="7"/>
        <v>248</v>
      </c>
      <c r="B249" s="99">
        <f t="shared" si="7"/>
        <v>2230125249</v>
      </c>
      <c r="C249" s="100" t="s">
        <v>1795</v>
      </c>
      <c r="D249" s="101" t="s">
        <v>1796</v>
      </c>
      <c r="E249" s="101" t="s">
        <v>1797</v>
      </c>
      <c r="F249" s="99" t="s">
        <v>32</v>
      </c>
      <c r="G249" s="101" t="s">
        <v>1798</v>
      </c>
      <c r="H249" s="101" t="s">
        <v>294</v>
      </c>
      <c r="I249" s="138">
        <v>39262</v>
      </c>
      <c r="J249" s="99" t="s">
        <v>35</v>
      </c>
      <c r="K249" s="90" t="e">
        <f>PROPER(#REF!)</f>
        <v>#REF!</v>
      </c>
      <c r="L249" s="99" t="s">
        <v>489</v>
      </c>
      <c r="M249" s="99" t="s">
        <v>79</v>
      </c>
      <c r="N249" s="101" t="s">
        <v>1799</v>
      </c>
      <c r="O249" s="101" t="s">
        <v>1800</v>
      </c>
      <c r="P249" s="101" t="s">
        <v>1800</v>
      </c>
      <c r="Q249" s="99">
        <v>12320</v>
      </c>
      <c r="R249" s="22"/>
      <c r="S249" s="102" t="s">
        <v>52</v>
      </c>
      <c r="T249" s="21" t="str">
        <f>VLOOKUP(C249,'[1]TABEL SMA'!$C$8:$D$343,2,0)</f>
        <v>SMAN 108 JAKARTA</v>
      </c>
      <c r="U249" s="22" t="str">
        <f>IFERROR(VLOOKUP(Table11[[#This Row],[Nama]],'[1]TABEL BEASISWA'!$B$4:$D$202,2,FALSE),"TIDAK")</f>
        <v>TIDAK</v>
      </c>
      <c r="V249" s="83" t="str">
        <f>IFERROR(VLOOKUP(Table11[[#This Row],[Nama]],'[1]TABEL BEASISWA'!$B$4:$D$202,3,FALSE),"Tidak ada")</f>
        <v>Tidak ada</v>
      </c>
      <c r="W249" s="24" t="str">
        <f>IFERROR(VLOOKUP(Table11[[#This Row],[Nama]],'[1]TABEL BEASISWA'!$B$4:$E$202,4,FALSE)," ")</f>
        <v xml:space="preserve"> </v>
      </c>
      <c r="X249" s="91" t="s">
        <v>1528</v>
      </c>
      <c r="Y249" s="96" t="s">
        <v>1529</v>
      </c>
      <c r="Z249" s="96" t="s">
        <v>1530</v>
      </c>
      <c r="AA249" s="97">
        <v>45936</v>
      </c>
      <c r="AB249" s="91" t="s">
        <v>1531</v>
      </c>
      <c r="AC249" s="130">
        <v>1001001</v>
      </c>
      <c r="AD249" s="130">
        <v>317410</v>
      </c>
      <c r="AE249" s="130">
        <v>3174101001</v>
      </c>
      <c r="AF249" s="130" t="s">
        <v>2346</v>
      </c>
    </row>
    <row r="250" spans="1:32">
      <c r="A250" s="76">
        <f t="shared" si="7"/>
        <v>249</v>
      </c>
      <c r="B250" s="87">
        <f t="shared" si="7"/>
        <v>2230125250</v>
      </c>
      <c r="C250" s="88" t="s">
        <v>1801</v>
      </c>
      <c r="D250" s="88" t="s">
        <v>1802</v>
      </c>
      <c r="E250" s="89" t="s">
        <v>1803</v>
      </c>
      <c r="F250" s="87" t="s">
        <v>67</v>
      </c>
      <c r="G250" s="89" t="s">
        <v>1804</v>
      </c>
      <c r="H250" s="89" t="s">
        <v>34</v>
      </c>
      <c r="I250" s="137" t="s">
        <v>1805</v>
      </c>
      <c r="J250" s="87" t="s">
        <v>35</v>
      </c>
      <c r="K250" s="90" t="e">
        <f>PROPER(#REF!)</f>
        <v>#REF!</v>
      </c>
      <c r="L250" s="87" t="s">
        <v>50</v>
      </c>
      <c r="M250" s="87" t="s">
        <v>123</v>
      </c>
      <c r="N250" s="89" t="s">
        <v>1806</v>
      </c>
      <c r="O250" s="89" t="s">
        <v>1806</v>
      </c>
      <c r="P250" s="89" t="s">
        <v>1011</v>
      </c>
      <c r="Q250" s="87">
        <v>12630</v>
      </c>
      <c r="R250" s="22"/>
      <c r="S250" s="102" t="s">
        <v>52</v>
      </c>
      <c r="T250" s="21" t="str">
        <f>VLOOKUP(C250,'[1]TABEL SMA'!$C$8:$D$343,2,0)</f>
        <v>MAN 7 JAKARTA</v>
      </c>
      <c r="U250" s="22" t="str">
        <f>IFERROR(VLOOKUP(Table11[[#This Row],[Nama]],'[1]TABEL BEASISWA'!$B$4:$D$202,2,FALSE),"TIDAK")</f>
        <v>TIDAK</v>
      </c>
      <c r="V250" s="83" t="str">
        <f>IFERROR(VLOOKUP(Table11[[#This Row],[Nama]],'[1]TABEL BEASISWA'!$B$4:$D$202,3,FALSE),"Tidak ada")</f>
        <v>Tidak ada</v>
      </c>
      <c r="W250" s="24" t="str">
        <f>IFERROR(VLOOKUP(Table11[[#This Row],[Nama]],'[1]TABEL BEASISWA'!$B$4:$E$202,4,FALSE)," ")</f>
        <v xml:space="preserve"> </v>
      </c>
      <c r="X250" s="91" t="s">
        <v>1528</v>
      </c>
      <c r="Y250" s="96" t="s">
        <v>1529</v>
      </c>
      <c r="Z250" s="96" t="s">
        <v>1530</v>
      </c>
      <c r="AA250" s="97">
        <v>45936</v>
      </c>
      <c r="AB250" s="91" t="s">
        <v>1531</v>
      </c>
      <c r="AC250" s="130">
        <v>1001001</v>
      </c>
      <c r="AD250" s="130">
        <v>317409</v>
      </c>
      <c r="AE250" s="130">
        <v>3174091006</v>
      </c>
      <c r="AF250" s="130" t="s">
        <v>2346</v>
      </c>
    </row>
    <row r="251" spans="1:32" ht="28">
      <c r="A251" s="76">
        <f t="shared" si="7"/>
        <v>250</v>
      </c>
      <c r="B251" s="99">
        <f t="shared" si="7"/>
        <v>2230125251</v>
      </c>
      <c r="C251" s="100" t="s">
        <v>1807</v>
      </c>
      <c r="D251" s="101" t="s">
        <v>1808</v>
      </c>
      <c r="E251" s="101" t="s">
        <v>1809</v>
      </c>
      <c r="F251" s="99" t="s">
        <v>67</v>
      </c>
      <c r="G251" s="101" t="s">
        <v>1810</v>
      </c>
      <c r="H251" s="101" t="s">
        <v>34</v>
      </c>
      <c r="I251" s="138" t="s">
        <v>1811</v>
      </c>
      <c r="J251" s="99" t="s">
        <v>1368</v>
      </c>
      <c r="K251" s="90" t="e">
        <f>PROPER(#REF!)</f>
        <v>#REF!</v>
      </c>
      <c r="L251" s="104"/>
      <c r="M251" s="104"/>
      <c r="N251" s="101" t="s">
        <v>1812</v>
      </c>
      <c r="O251" s="101" t="s">
        <v>1813</v>
      </c>
      <c r="P251" s="101" t="s">
        <v>565</v>
      </c>
      <c r="Q251" s="99">
        <v>13620</v>
      </c>
      <c r="R251" s="22"/>
      <c r="S251" s="102" t="s">
        <v>52</v>
      </c>
      <c r="T251" s="21" t="str">
        <f>VLOOKUP(C251,'[1]TABEL SMA'!$C$8:$D$343,2,0)</f>
        <v xml:space="preserve">SMA SWASTA PUSAKA 1 JAKARTA </v>
      </c>
      <c r="U251" s="22" t="str">
        <f>IFERROR(VLOOKUP(Table11[[#This Row],[Nama]],'[1]TABEL BEASISWA'!$B$4:$D$202,2,FALSE),"TIDAK")</f>
        <v>YA</v>
      </c>
      <c r="V251" s="83" t="str">
        <f>IFERROR(VLOOKUP(Table11[[#This Row],[Nama]],'[1]TABEL BEASISWA'!$B$4:$D$202,3,FALSE),"Tidak ada")</f>
        <v>Beasiswa 50%, Berprestasi/Kurang Mampu</v>
      </c>
      <c r="W251" s="24" t="str">
        <f>IFERROR(VLOOKUP(Table11[[#This Row],[Nama]],'[1]TABEL BEASISWA'!$B$4:$E$202,4,FALSE)," ")</f>
        <v>Angkatan 5</v>
      </c>
      <c r="X251" s="91" t="s">
        <v>1528</v>
      </c>
      <c r="Y251" s="96" t="s">
        <v>1529</v>
      </c>
      <c r="Z251" s="96" t="s">
        <v>1549</v>
      </c>
      <c r="AA251" s="97">
        <v>45936</v>
      </c>
      <c r="AB251" s="91" t="s">
        <v>1531</v>
      </c>
      <c r="AC251" s="130">
        <v>1001002</v>
      </c>
      <c r="AD251" s="130">
        <v>317508</v>
      </c>
      <c r="AE251" s="130">
        <v>3175081005</v>
      </c>
      <c r="AF251" s="130" t="s">
        <v>2346</v>
      </c>
    </row>
    <row r="252" spans="1:32" ht="42">
      <c r="A252" s="76">
        <f t="shared" si="7"/>
        <v>251</v>
      </c>
      <c r="B252" s="87">
        <f t="shared" si="7"/>
        <v>2230125252</v>
      </c>
      <c r="C252" s="88" t="s">
        <v>1814</v>
      </c>
      <c r="D252" s="89" t="s">
        <v>1815</v>
      </c>
      <c r="E252" s="89" t="s">
        <v>1816</v>
      </c>
      <c r="F252" s="87" t="s">
        <v>32</v>
      </c>
      <c r="G252" s="89" t="s">
        <v>1817</v>
      </c>
      <c r="H252" s="89" t="s">
        <v>1818</v>
      </c>
      <c r="I252" s="137">
        <v>38602</v>
      </c>
      <c r="J252" s="87" t="s">
        <v>35</v>
      </c>
      <c r="K252" s="90" t="e">
        <f>PROPER(#REF!)</f>
        <v>#REF!</v>
      </c>
      <c r="L252" s="87" t="s">
        <v>1043</v>
      </c>
      <c r="M252" s="87" t="s">
        <v>1043</v>
      </c>
      <c r="N252" s="89" t="s">
        <v>1818</v>
      </c>
      <c r="O252" s="89" t="s">
        <v>1818</v>
      </c>
      <c r="P252" s="89" t="s">
        <v>1819</v>
      </c>
      <c r="Q252" s="87">
        <v>22753</v>
      </c>
      <c r="R252" s="22"/>
      <c r="S252" s="107" t="s">
        <v>52</v>
      </c>
      <c r="T252" s="21" t="str">
        <f>VLOOKUP(C252,'[1]TABEL SMA'!$C$8:$D$343,2,0)</f>
        <v xml:space="preserve">SMA S NURUL ILMI PADANG SIDIMPUAN, SUMATERA UTARA </v>
      </c>
      <c r="U252" s="22" t="str">
        <f>IFERROR(VLOOKUP(Table11[[#This Row],[Nama]],'[1]TABEL BEASISWA'!$B$4:$D$202,2,FALSE),"TIDAK")</f>
        <v>TIDAK</v>
      </c>
      <c r="V252" s="83" t="str">
        <f>IFERROR(VLOOKUP(Table11[[#This Row],[Nama]],'[1]TABEL BEASISWA'!$B$4:$D$202,3,FALSE),"Tidak ada")</f>
        <v>Tidak ada</v>
      </c>
      <c r="W252" s="24" t="str">
        <f>IFERROR(VLOOKUP(Table11[[#This Row],[Nama]],'[1]TABEL BEASISWA'!$B$4:$E$202,4,FALSE)," ")</f>
        <v xml:space="preserve"> </v>
      </c>
      <c r="X252" s="91" t="s">
        <v>1528</v>
      </c>
      <c r="Y252" s="96" t="s">
        <v>1529</v>
      </c>
      <c r="Z252" s="96" t="s">
        <v>1530</v>
      </c>
      <c r="AA252" s="97">
        <v>45936</v>
      </c>
      <c r="AB252" s="91" t="s">
        <v>1531</v>
      </c>
      <c r="AC252" s="130">
        <v>1001001</v>
      </c>
      <c r="AD252" s="130">
        <v>122004</v>
      </c>
      <c r="AE252" s="130">
        <v>1220042044</v>
      </c>
      <c r="AF252" s="130" t="s">
        <v>2346</v>
      </c>
    </row>
    <row r="253" spans="1:32" ht="28">
      <c r="A253" s="76">
        <f t="shared" si="7"/>
        <v>252</v>
      </c>
      <c r="B253" s="99">
        <f t="shared" si="7"/>
        <v>2230125253</v>
      </c>
      <c r="C253" s="100" t="s">
        <v>1820</v>
      </c>
      <c r="D253" s="101" t="s">
        <v>1821</v>
      </c>
      <c r="E253" s="101" t="s">
        <v>1822</v>
      </c>
      <c r="F253" s="99" t="s">
        <v>67</v>
      </c>
      <c r="G253" s="101" t="s">
        <v>1823</v>
      </c>
      <c r="H253" s="101" t="s">
        <v>58</v>
      </c>
      <c r="I253" s="138" t="s">
        <v>1824</v>
      </c>
      <c r="J253" s="99" t="s">
        <v>35</v>
      </c>
      <c r="K253" s="90" t="e">
        <f>PROPER(#REF!)</f>
        <v>#REF!</v>
      </c>
      <c r="L253" s="99" t="s">
        <v>437</v>
      </c>
      <c r="M253" s="99" t="s">
        <v>780</v>
      </c>
      <c r="N253" s="101" t="s">
        <v>1825</v>
      </c>
      <c r="O253" s="101" t="s">
        <v>1826</v>
      </c>
      <c r="P253" s="101" t="s">
        <v>349</v>
      </c>
      <c r="Q253" s="99">
        <v>16418</v>
      </c>
      <c r="R253" s="22"/>
      <c r="S253" s="18" t="s">
        <v>458</v>
      </c>
      <c r="T253" s="21" t="str">
        <f>VLOOKUP(C253,'[1]TABEL SMA'!$C$8:$D$343,2,0)</f>
        <v>SMK NEGERI 3 DEPOK</v>
      </c>
      <c r="U253" s="22" t="str">
        <f>IFERROR(VLOOKUP(Table11[[#This Row],[Nama]],'[1]TABEL BEASISWA'!$B$4:$D$202,2,FALSE),"TIDAK")</f>
        <v>TIDAK</v>
      </c>
      <c r="V253" s="83" t="str">
        <f>IFERROR(VLOOKUP(Table11[[#This Row],[Nama]],'[1]TABEL BEASISWA'!$B$4:$D$202,3,FALSE),"Tidak ada")</f>
        <v>Tidak ada</v>
      </c>
      <c r="W253" s="24" t="str">
        <f>IFERROR(VLOOKUP(Table11[[#This Row],[Nama]],'[1]TABEL BEASISWA'!$B$4:$E$202,4,FALSE)," ")</f>
        <v xml:space="preserve"> </v>
      </c>
      <c r="X253" s="91" t="s">
        <v>1528</v>
      </c>
      <c r="Y253" s="96" t="s">
        <v>1529</v>
      </c>
      <c r="Z253" s="96" t="s">
        <v>1530</v>
      </c>
      <c r="AA253" s="97">
        <v>45936</v>
      </c>
      <c r="AB253" s="91" t="s">
        <v>1531</v>
      </c>
      <c r="AC253" s="130">
        <v>1001001</v>
      </c>
      <c r="AD253" s="130">
        <v>327605</v>
      </c>
      <c r="AE253" s="130"/>
      <c r="AF253" s="130" t="s">
        <v>2348</v>
      </c>
    </row>
    <row r="254" spans="1:32" ht="28">
      <c r="A254" s="76">
        <f t="shared" si="7"/>
        <v>253</v>
      </c>
      <c r="B254" s="87">
        <f t="shared" si="7"/>
        <v>2230125254</v>
      </c>
      <c r="C254" s="88" t="s">
        <v>1827</v>
      </c>
      <c r="D254" s="89" t="s">
        <v>1828</v>
      </c>
      <c r="E254" s="89" t="s">
        <v>1829</v>
      </c>
      <c r="F254" s="87" t="s">
        <v>67</v>
      </c>
      <c r="G254" s="89" t="s">
        <v>1830</v>
      </c>
      <c r="H254" s="89" t="s">
        <v>1831</v>
      </c>
      <c r="I254" s="137" t="s">
        <v>1832</v>
      </c>
      <c r="J254" s="87" t="s">
        <v>35</v>
      </c>
      <c r="K254" s="90" t="e">
        <f>PROPER(#REF!)</f>
        <v>#REF!</v>
      </c>
      <c r="L254" s="87" t="s">
        <v>1833</v>
      </c>
      <c r="M254" s="87" t="s">
        <v>1834</v>
      </c>
      <c r="N254" s="89" t="s">
        <v>1835</v>
      </c>
      <c r="O254" s="89" t="s">
        <v>1836</v>
      </c>
      <c r="P254" s="89" t="s">
        <v>1831</v>
      </c>
      <c r="Q254" s="87">
        <v>77212</v>
      </c>
      <c r="R254" s="22"/>
      <c r="S254" s="18" t="s">
        <v>365</v>
      </c>
      <c r="T254" s="21" t="str">
        <f>VLOOKUP(C254,'[1]TABEL SMA'!$C$8:$D$343,2,0)</f>
        <v>SMA NEGERI 1 TANJUNG SELOR</v>
      </c>
      <c r="U254" s="22" t="str">
        <f>IFERROR(VLOOKUP(Table11[[#This Row],[Nama]],'[1]TABEL BEASISWA'!$B$4:$D$202,2,FALSE),"TIDAK")</f>
        <v>YA</v>
      </c>
      <c r="V254" s="83" t="str">
        <f>IFERROR(VLOOKUP(Table11[[#This Row],[Nama]],'[1]TABEL BEASISWA'!$B$4:$D$202,3,FALSE),"Tidak ada")</f>
        <v>Beasiswa 50%, Berprestasi/Kurang Mampu</v>
      </c>
      <c r="W254" s="24" t="str">
        <f>IFERROR(VLOOKUP(Table11[[#This Row],[Nama]],'[1]TABEL BEASISWA'!$B$4:$E$202,4,FALSE)," ")</f>
        <v>Angkatan 5</v>
      </c>
      <c r="X254" s="91" t="s">
        <v>1528</v>
      </c>
      <c r="Y254" s="96" t="s">
        <v>1529</v>
      </c>
      <c r="Z254" s="96" t="s">
        <v>1549</v>
      </c>
      <c r="AA254" s="97">
        <v>45936</v>
      </c>
      <c r="AB254" s="91" t="s">
        <v>1531</v>
      </c>
      <c r="AC254" s="130">
        <v>1001001</v>
      </c>
      <c r="AD254" s="130">
        <v>650105</v>
      </c>
      <c r="AE254" s="130">
        <v>6501051002</v>
      </c>
      <c r="AF254" s="130" t="s">
        <v>2347</v>
      </c>
    </row>
    <row r="255" spans="1:32">
      <c r="A255" s="76">
        <f t="shared" si="7"/>
        <v>254</v>
      </c>
      <c r="B255" s="99">
        <f t="shared" si="7"/>
        <v>2230125255</v>
      </c>
      <c r="C255" s="100" t="s">
        <v>1837</v>
      </c>
      <c r="D255" s="101" t="s">
        <v>1838</v>
      </c>
      <c r="E255" s="101" t="s">
        <v>1839</v>
      </c>
      <c r="F255" s="99" t="s">
        <v>32</v>
      </c>
      <c r="G255" s="101" t="s">
        <v>1840</v>
      </c>
      <c r="H255" s="101" t="s">
        <v>77</v>
      </c>
      <c r="I255" s="138">
        <v>39375</v>
      </c>
      <c r="J255" s="99" t="s">
        <v>35</v>
      </c>
      <c r="K255" s="90" t="e">
        <f>PROPER(#REF!)</f>
        <v>#REF!</v>
      </c>
      <c r="L255" s="99" t="s">
        <v>169</v>
      </c>
      <c r="M255" s="99" t="s">
        <v>143</v>
      </c>
      <c r="N255" s="101" t="s">
        <v>1841</v>
      </c>
      <c r="O255" s="101" t="s">
        <v>1842</v>
      </c>
      <c r="P255" s="101" t="s">
        <v>1310</v>
      </c>
      <c r="Q255" s="99">
        <v>16913</v>
      </c>
      <c r="R255" s="22"/>
      <c r="S255" s="18" t="s">
        <v>52</v>
      </c>
      <c r="T255" s="21" t="str">
        <f>VLOOKUP(C255,'[1]TABEL SMA'!$C$8:$D$343,2,0)</f>
        <v>SMAN 02 CIBINONG</v>
      </c>
      <c r="U255" s="22" t="str">
        <f>IFERROR(VLOOKUP(Table11[[#This Row],[Nama]],'[1]TABEL BEASISWA'!$B$4:$D$202,2,FALSE),"TIDAK")</f>
        <v>TIDAK</v>
      </c>
      <c r="V255" s="83" t="str">
        <f>IFERROR(VLOOKUP(Table11[[#This Row],[Nama]],'[1]TABEL BEASISWA'!$B$4:$D$202,3,FALSE),"Tidak ada")</f>
        <v>Tidak ada</v>
      </c>
      <c r="W255" s="24" t="str">
        <f>IFERROR(VLOOKUP(Table11[[#This Row],[Nama]],'[1]TABEL BEASISWA'!$B$4:$E$202,4,FALSE)," ")</f>
        <v xml:space="preserve"> </v>
      </c>
      <c r="X255" s="91" t="s">
        <v>1528</v>
      </c>
      <c r="Y255" s="96" t="s">
        <v>1529</v>
      </c>
      <c r="Z255" s="96" t="s">
        <v>1530</v>
      </c>
      <c r="AA255" s="97">
        <v>45936</v>
      </c>
      <c r="AB255" s="91" t="s">
        <v>1531</v>
      </c>
      <c r="AC255" s="130">
        <v>1001001</v>
      </c>
      <c r="AD255" s="130">
        <v>320320</v>
      </c>
      <c r="AE255" s="130"/>
      <c r="AF255" s="130" t="s">
        <v>2346</v>
      </c>
    </row>
    <row r="256" spans="1:32" ht="42">
      <c r="A256" s="76">
        <f t="shared" si="7"/>
        <v>255</v>
      </c>
      <c r="B256" s="87">
        <f t="shared" si="7"/>
        <v>2230125256</v>
      </c>
      <c r="C256" s="88" t="s">
        <v>1843</v>
      </c>
      <c r="D256" s="88" t="s">
        <v>1844</v>
      </c>
      <c r="E256" s="89" t="s">
        <v>1845</v>
      </c>
      <c r="F256" s="87" t="s">
        <v>32</v>
      </c>
      <c r="G256" s="89" t="s">
        <v>1846</v>
      </c>
      <c r="H256" s="89" t="s">
        <v>34</v>
      </c>
      <c r="I256" s="137">
        <v>38971</v>
      </c>
      <c r="J256" s="87" t="s">
        <v>35</v>
      </c>
      <c r="K256" s="90" t="e">
        <f>PROPER(#REF!)</f>
        <v>#REF!</v>
      </c>
      <c r="L256" s="87" t="s">
        <v>169</v>
      </c>
      <c r="M256" s="87" t="s">
        <v>61</v>
      </c>
      <c r="N256" s="89" t="s">
        <v>125</v>
      </c>
      <c r="O256" s="89" t="s">
        <v>125</v>
      </c>
      <c r="P256" s="89" t="s">
        <v>126</v>
      </c>
      <c r="Q256" s="87">
        <v>12440</v>
      </c>
      <c r="R256" s="22"/>
      <c r="S256" s="18" t="s">
        <v>1291</v>
      </c>
      <c r="T256" s="21" t="str">
        <f>VLOOKUP(C256,'[1]TABEL SMA'!$C$8:$D$343,2,0)</f>
        <v>SMA KELUARGA WIDURI JAKARTA SELATAN</v>
      </c>
      <c r="U256" s="22" t="str">
        <f>IFERROR(VLOOKUP(Table11[[#This Row],[Nama]],'[1]TABEL BEASISWA'!$B$4:$D$202,2,FALSE),"TIDAK")</f>
        <v>YA</v>
      </c>
      <c r="V256" s="83" t="str">
        <f>IFERROR(VLOOKUP(Table11[[#This Row],[Nama]],'[1]TABEL BEASISWA'!$B$4:$D$202,3,FALSE),"Tidak ada")</f>
        <v>Beasiswa 20%, Berprestasi/Kurang Mampu</v>
      </c>
      <c r="W256" s="24" t="str">
        <f>IFERROR(VLOOKUP(Table11[[#This Row],[Nama]],'[1]TABEL BEASISWA'!$B$4:$E$202,4,FALSE)," ")</f>
        <v>Angkatan 5</v>
      </c>
      <c r="X256" s="91" t="s">
        <v>1528</v>
      </c>
      <c r="Y256" s="96" t="s">
        <v>1529</v>
      </c>
      <c r="Z256" s="96" t="s">
        <v>1847</v>
      </c>
      <c r="AA256" s="97">
        <v>45936</v>
      </c>
      <c r="AB256" s="91" t="s">
        <v>1531</v>
      </c>
      <c r="AC256" s="130">
        <v>1001001</v>
      </c>
      <c r="AD256" s="130">
        <v>317406</v>
      </c>
      <c r="AE256" s="130">
        <v>3174061002</v>
      </c>
      <c r="AF256" s="130" t="s">
        <v>2348</v>
      </c>
    </row>
    <row r="257" spans="1:32">
      <c r="A257" s="76">
        <f t="shared" si="7"/>
        <v>256</v>
      </c>
      <c r="B257" s="99">
        <f t="shared" si="7"/>
        <v>2230125257</v>
      </c>
      <c r="C257" s="100" t="s">
        <v>1848</v>
      </c>
      <c r="D257" s="101" t="s">
        <v>1849</v>
      </c>
      <c r="E257" s="101" t="s">
        <v>1850</v>
      </c>
      <c r="F257" s="99" t="s">
        <v>32</v>
      </c>
      <c r="G257" s="101" t="s">
        <v>1851</v>
      </c>
      <c r="H257" s="101" t="s">
        <v>454</v>
      </c>
      <c r="I257" s="138">
        <v>38752</v>
      </c>
      <c r="J257" s="99" t="s">
        <v>35</v>
      </c>
      <c r="K257" s="90" t="e">
        <f>PROPER(#REF!)</f>
        <v>#REF!</v>
      </c>
      <c r="L257" s="99" t="s">
        <v>143</v>
      </c>
      <c r="M257" s="99" t="s">
        <v>79</v>
      </c>
      <c r="N257" s="101" t="s">
        <v>1852</v>
      </c>
      <c r="O257" s="101" t="s">
        <v>1852</v>
      </c>
      <c r="P257" s="101" t="s">
        <v>508</v>
      </c>
      <c r="Q257" s="99">
        <v>17143</v>
      </c>
      <c r="R257" s="22"/>
      <c r="S257" s="18" t="s">
        <v>1291</v>
      </c>
      <c r="T257" s="21" t="str">
        <f>VLOOKUP(C257,'[1]TABEL SMA'!$C$8:$D$343,2,0)</f>
        <v>SMAN 8 BEKASI</v>
      </c>
      <c r="U257" s="22" t="str">
        <f>IFERROR(VLOOKUP(Table11[[#This Row],[Nama]],'[1]TABEL BEASISWA'!$B$4:$D$202,2,FALSE),"TIDAK")</f>
        <v>TIDAK</v>
      </c>
      <c r="V257" s="83" t="str">
        <f>IFERROR(VLOOKUP(Table11[[#This Row],[Nama]],'[1]TABEL BEASISWA'!$B$4:$D$202,3,FALSE),"Tidak ada")</f>
        <v>Tidak ada</v>
      </c>
      <c r="W257" s="24" t="str">
        <f>IFERROR(VLOOKUP(Table11[[#This Row],[Nama]],'[1]TABEL BEASISWA'!$B$4:$E$202,4,FALSE)," ")</f>
        <v xml:space="preserve"> </v>
      </c>
      <c r="X257" s="91" t="s">
        <v>1528</v>
      </c>
      <c r="Y257" s="96" t="s">
        <v>1529</v>
      </c>
      <c r="Z257" s="96" t="s">
        <v>1530</v>
      </c>
      <c r="AA257" s="97">
        <v>45936</v>
      </c>
      <c r="AB257" s="91" t="s">
        <v>1531</v>
      </c>
      <c r="AC257" s="130">
        <v>1001001</v>
      </c>
      <c r="AD257" s="130"/>
      <c r="AE257" s="130"/>
      <c r="AF257" s="130" t="s">
        <v>2348</v>
      </c>
    </row>
    <row r="258" spans="1:32" ht="28">
      <c r="A258" s="76">
        <f t="shared" si="7"/>
        <v>257</v>
      </c>
      <c r="B258" s="87">
        <f t="shared" si="7"/>
        <v>2230125258</v>
      </c>
      <c r="C258" s="88" t="s">
        <v>1853</v>
      </c>
      <c r="D258" s="89" t="s">
        <v>1854</v>
      </c>
      <c r="E258" s="89" t="s">
        <v>1855</v>
      </c>
      <c r="F258" s="87" t="s">
        <v>32</v>
      </c>
      <c r="G258" s="89" t="s">
        <v>1856</v>
      </c>
      <c r="H258" s="89" t="s">
        <v>618</v>
      </c>
      <c r="I258" s="137" t="s">
        <v>1857</v>
      </c>
      <c r="J258" s="87" t="s">
        <v>35</v>
      </c>
      <c r="K258" s="90" t="e">
        <f>PROPER(#REF!)</f>
        <v>#REF!</v>
      </c>
      <c r="L258" s="87" t="s">
        <v>60</v>
      </c>
      <c r="M258" s="87" t="s">
        <v>50</v>
      </c>
      <c r="N258" s="89" t="s">
        <v>620</v>
      </c>
      <c r="O258" s="89" t="s">
        <v>620</v>
      </c>
      <c r="P258" s="89" t="s">
        <v>1858</v>
      </c>
      <c r="Q258" s="87">
        <v>99224</v>
      </c>
      <c r="R258" s="22"/>
      <c r="S258" s="18" t="s">
        <v>52</v>
      </c>
      <c r="T258" s="21" t="str">
        <f>VLOOKUP(C258,'[1]TABEL SMA'!$C$8:$D$343,2,0)</f>
        <v>SMA NEGERI 4 JAYAPURA</v>
      </c>
      <c r="U258" s="22" t="str">
        <f>IFERROR(VLOOKUP(Table11[[#This Row],[Nama]],'[1]TABEL BEASISWA'!$B$4:$D$202,2,FALSE),"TIDAK")</f>
        <v>TIDAK</v>
      </c>
      <c r="V258" s="83" t="str">
        <f>IFERROR(VLOOKUP(Table11[[#This Row],[Nama]],'[1]TABEL BEASISWA'!$B$4:$D$202,3,FALSE),"Tidak ada")</f>
        <v>Tidak ada</v>
      </c>
      <c r="W258" s="24" t="str">
        <f>IFERROR(VLOOKUP(Table11[[#This Row],[Nama]],'[1]TABEL BEASISWA'!$B$4:$E$202,4,FALSE)," ")</f>
        <v xml:space="preserve"> </v>
      </c>
      <c r="X258" s="91" t="s">
        <v>1528</v>
      </c>
      <c r="Y258" s="96" t="s">
        <v>1529</v>
      </c>
      <c r="Z258" s="96" t="s">
        <v>1530</v>
      </c>
      <c r="AA258" s="97">
        <v>45936</v>
      </c>
      <c r="AB258" s="91" t="s">
        <v>1531</v>
      </c>
      <c r="AC258" s="130">
        <v>1001001</v>
      </c>
      <c r="AD258" s="130">
        <v>917102</v>
      </c>
      <c r="AE258" s="130"/>
      <c r="AF258" s="130" t="s">
        <v>2346</v>
      </c>
    </row>
    <row r="259" spans="1:32" ht="42">
      <c r="A259" s="76">
        <f t="shared" si="7"/>
        <v>258</v>
      </c>
      <c r="B259" s="99">
        <f t="shared" si="7"/>
        <v>2230125259</v>
      </c>
      <c r="C259" s="100" t="s">
        <v>1859</v>
      </c>
      <c r="D259" s="101" t="s">
        <v>1860</v>
      </c>
      <c r="E259" s="101" t="s">
        <v>1861</v>
      </c>
      <c r="F259" s="99" t="s">
        <v>32</v>
      </c>
      <c r="G259" s="101" t="s">
        <v>1862</v>
      </c>
      <c r="H259" s="101" t="s">
        <v>141</v>
      </c>
      <c r="I259" s="138">
        <v>38944</v>
      </c>
      <c r="J259" s="99" t="s">
        <v>35</v>
      </c>
      <c r="K259" s="90" t="e">
        <f>PROPER(#REF!)</f>
        <v>#REF!</v>
      </c>
      <c r="L259" s="99" t="s">
        <v>143</v>
      </c>
      <c r="M259" s="99" t="s">
        <v>61</v>
      </c>
      <c r="N259" s="101" t="s">
        <v>1863</v>
      </c>
      <c r="O259" s="101" t="s">
        <v>1863</v>
      </c>
      <c r="P259" s="101" t="s">
        <v>685</v>
      </c>
      <c r="Q259" s="99">
        <v>28411</v>
      </c>
      <c r="R259" s="22"/>
      <c r="S259" s="18" t="s">
        <v>52</v>
      </c>
      <c r="T259" s="21" t="str">
        <f>VLOOKUP(C259,'[1]TABEL SMA'!$C$8:$D$343,2,0)</f>
        <v xml:space="preserve">MA PP. DARUSSALAM SARAN KABUN </v>
      </c>
      <c r="U259" s="22" t="str">
        <f>IFERROR(VLOOKUP(Table11[[#This Row],[Nama]],'[1]TABEL BEASISWA'!$B$4:$D$202,2,FALSE),"TIDAK")</f>
        <v>TIDAK</v>
      </c>
      <c r="V259" s="83" t="str">
        <f>IFERROR(VLOOKUP(Table11[[#This Row],[Nama]],'[1]TABEL BEASISWA'!$B$4:$D$202,3,FALSE),"Tidak ada")</f>
        <v>Tidak ada</v>
      </c>
      <c r="W259" s="24" t="str">
        <f>IFERROR(VLOOKUP(Table11[[#This Row],[Nama]],'[1]TABEL BEASISWA'!$B$4:$E$202,4,FALSE)," ")</f>
        <v xml:space="preserve"> </v>
      </c>
      <c r="X259" s="91" t="s">
        <v>1528</v>
      </c>
      <c r="Y259" s="96" t="s">
        <v>1529</v>
      </c>
      <c r="Z259" s="96" t="s">
        <v>1530</v>
      </c>
      <c r="AA259" s="97">
        <v>45936</v>
      </c>
      <c r="AB259" s="91" t="s">
        <v>1531</v>
      </c>
      <c r="AC259" s="130">
        <v>1001001</v>
      </c>
      <c r="AD259" s="130">
        <v>140101</v>
      </c>
      <c r="AE259" s="130">
        <v>1401012009</v>
      </c>
      <c r="AF259" s="130" t="s">
        <v>2346</v>
      </c>
    </row>
    <row r="260" spans="1:32" ht="28">
      <c r="A260" s="76">
        <f t="shared" si="7"/>
        <v>259</v>
      </c>
      <c r="B260" s="87">
        <f t="shared" si="7"/>
        <v>2230125260</v>
      </c>
      <c r="C260" s="88" t="s">
        <v>1864</v>
      </c>
      <c r="D260" s="89" t="s">
        <v>1865</v>
      </c>
      <c r="E260" s="89" t="s">
        <v>1866</v>
      </c>
      <c r="F260" s="87" t="s">
        <v>32</v>
      </c>
      <c r="G260" s="89" t="s">
        <v>1867</v>
      </c>
      <c r="H260" s="89" t="s">
        <v>77</v>
      </c>
      <c r="I260" s="137" t="s">
        <v>1868</v>
      </c>
      <c r="J260" s="87" t="s">
        <v>35</v>
      </c>
      <c r="K260" s="90" t="e">
        <f>PROPER(#REF!)</f>
        <v>#REF!</v>
      </c>
      <c r="L260" s="87" t="s">
        <v>480</v>
      </c>
      <c r="M260" s="87" t="s">
        <v>143</v>
      </c>
      <c r="N260" s="89" t="s">
        <v>1869</v>
      </c>
      <c r="O260" s="89" t="s">
        <v>1870</v>
      </c>
      <c r="P260" s="89" t="s">
        <v>349</v>
      </c>
      <c r="Q260" s="87">
        <v>16412</v>
      </c>
      <c r="R260" s="22"/>
      <c r="S260" s="108" t="s">
        <v>1291</v>
      </c>
      <c r="T260" s="21" t="str">
        <f>VLOOKUP(C260,'[1]TABEL SMA'!$C$8:$D$343,2,0)</f>
        <v>SMK MADANI DEPOK</v>
      </c>
      <c r="U260" s="22" t="str">
        <f>IFERROR(VLOOKUP(Table11[[#This Row],[Nama]],'[1]TABEL BEASISWA'!$B$4:$D$202,2,FALSE),"TIDAK")</f>
        <v>YA</v>
      </c>
      <c r="V260" s="83" t="str">
        <f>IFERROR(VLOOKUP(Table11[[#This Row],[Nama]],'[1]TABEL BEASISWA'!$B$4:$D$202,3,FALSE),"Tidak ada")</f>
        <v>Beasiswa 50%, Berprestasi/Kurang Mampu</v>
      </c>
      <c r="W260" s="24" t="str">
        <f>IFERROR(VLOOKUP(Table11[[#This Row],[Nama]],'[1]TABEL BEASISWA'!$B$4:$E$202,4,FALSE)," ")</f>
        <v>Angkatan 5</v>
      </c>
      <c r="X260" s="91" t="s">
        <v>1528</v>
      </c>
      <c r="Y260" s="96" t="s">
        <v>1529</v>
      </c>
      <c r="Z260" s="96" t="s">
        <v>1549</v>
      </c>
      <c r="AA260" s="97">
        <v>45936</v>
      </c>
      <c r="AB260" s="91" t="s">
        <v>1531</v>
      </c>
      <c r="AC260" s="130">
        <v>1001001</v>
      </c>
      <c r="AD260" s="130">
        <v>327605</v>
      </c>
      <c r="AE260" s="130">
        <v>3276051010</v>
      </c>
      <c r="AF260" s="130" t="s">
        <v>2348</v>
      </c>
    </row>
    <row r="261" spans="1:32" ht="28">
      <c r="A261" s="76">
        <f t="shared" si="7"/>
        <v>260</v>
      </c>
      <c r="B261" s="99">
        <f t="shared" si="7"/>
        <v>2230125261</v>
      </c>
      <c r="C261" s="100" t="s">
        <v>1871</v>
      </c>
      <c r="D261" s="101" t="s">
        <v>1872</v>
      </c>
      <c r="E261" s="101" t="s">
        <v>1873</v>
      </c>
      <c r="F261" s="99" t="s">
        <v>32</v>
      </c>
      <c r="G261" s="101" t="s">
        <v>1874</v>
      </c>
      <c r="H261" s="101" t="s">
        <v>34</v>
      </c>
      <c r="I261" s="138">
        <v>38777</v>
      </c>
      <c r="J261" s="99" t="s">
        <v>35</v>
      </c>
      <c r="K261" s="90" t="e">
        <f>PROPER(#REF!)</f>
        <v>#REF!</v>
      </c>
      <c r="L261" s="99" t="s">
        <v>143</v>
      </c>
      <c r="M261" s="99" t="s">
        <v>79</v>
      </c>
      <c r="N261" s="101" t="s">
        <v>1875</v>
      </c>
      <c r="O261" s="101" t="s">
        <v>1876</v>
      </c>
      <c r="P261" s="101" t="s">
        <v>1877</v>
      </c>
      <c r="Q261" s="99">
        <v>16436</v>
      </c>
      <c r="R261" s="22"/>
      <c r="S261" s="108" t="s">
        <v>365</v>
      </c>
      <c r="T261" s="21" t="str">
        <f>VLOOKUP(C261,'[1]TABEL SMA'!$C$8:$D$343,2,0)</f>
        <v>SMA ISLAM GHAMA AR-RASYID</v>
      </c>
      <c r="U261" s="22" t="str">
        <f>IFERROR(VLOOKUP(Table11[[#This Row],[Nama]],'[1]TABEL BEASISWA'!$B$4:$D$202,2,FALSE),"TIDAK")</f>
        <v>TIDAK</v>
      </c>
      <c r="V261" s="83" t="str">
        <f>IFERROR(VLOOKUP(Table11[[#This Row],[Nama]],'[1]TABEL BEASISWA'!$B$4:$D$202,3,FALSE),"Tidak ada")</f>
        <v>Tidak ada</v>
      </c>
      <c r="W261" s="24" t="str">
        <f>IFERROR(VLOOKUP(Table11[[#This Row],[Nama]],'[1]TABEL BEASISWA'!$B$4:$E$202,4,FALSE)," ")</f>
        <v xml:space="preserve"> </v>
      </c>
      <c r="X261" s="91" t="s">
        <v>1528</v>
      </c>
      <c r="Y261" s="96" t="s">
        <v>1529</v>
      </c>
      <c r="Z261" s="96" t="s">
        <v>1530</v>
      </c>
      <c r="AA261" s="97">
        <v>45936</v>
      </c>
      <c r="AB261" s="91" t="s">
        <v>1531</v>
      </c>
      <c r="AC261" s="130">
        <v>1001001</v>
      </c>
      <c r="AD261" s="130">
        <v>317101</v>
      </c>
      <c r="AE261" s="130">
        <v>3171011005</v>
      </c>
      <c r="AF261" s="130" t="s">
        <v>2347</v>
      </c>
    </row>
    <row r="262" spans="1:32" ht="42">
      <c r="A262" s="76">
        <f t="shared" ref="A262:B277" si="8">A261+1</f>
        <v>261</v>
      </c>
      <c r="B262" s="87">
        <f t="shared" si="8"/>
        <v>2230125262</v>
      </c>
      <c r="C262" s="88" t="s">
        <v>1878</v>
      </c>
      <c r="D262" s="89" t="s">
        <v>1879</v>
      </c>
      <c r="E262" s="89">
        <v>9984988295</v>
      </c>
      <c r="F262" s="87" t="s">
        <v>67</v>
      </c>
      <c r="G262" s="89" t="s">
        <v>1880</v>
      </c>
      <c r="H262" s="89" t="s">
        <v>843</v>
      </c>
      <c r="I262" s="137" t="s">
        <v>1881</v>
      </c>
      <c r="J262" s="87" t="s">
        <v>35</v>
      </c>
      <c r="K262" s="90" t="e">
        <f>PROPER(#REF!)</f>
        <v>#REF!</v>
      </c>
      <c r="L262" s="87" t="s">
        <v>38</v>
      </c>
      <c r="M262" s="87" t="s">
        <v>106</v>
      </c>
      <c r="N262" s="89" t="s">
        <v>1882</v>
      </c>
      <c r="O262" s="89" t="s">
        <v>1882</v>
      </c>
      <c r="P262" s="89" t="s">
        <v>1882</v>
      </c>
      <c r="Q262" s="87">
        <v>43359</v>
      </c>
      <c r="R262" s="22"/>
      <c r="S262" s="108" t="s">
        <v>365</v>
      </c>
      <c r="T262" s="21" t="str">
        <f>VLOOKUP(C262,'[1]TABEL SMA'!$C$8:$D$343,2,0)</f>
        <v xml:space="preserve">SMA PGRI CICURUG KABUPATEN SUKABUMI </v>
      </c>
      <c r="U262" s="22" t="str">
        <f>IFERROR(VLOOKUP(Table11[[#This Row],[Nama]],'[1]TABEL BEASISWA'!$B$4:$D$202,2,FALSE),"TIDAK")</f>
        <v>TIDAK</v>
      </c>
      <c r="V262" s="83" t="str">
        <f>IFERROR(VLOOKUP(Table11[[#This Row],[Nama]],'[1]TABEL BEASISWA'!$B$4:$D$202,3,FALSE),"Tidak ada")</f>
        <v>Tidak ada</v>
      </c>
      <c r="W262" s="24" t="str">
        <f>IFERROR(VLOOKUP(Table11[[#This Row],[Nama]],'[1]TABEL BEASISWA'!$B$4:$E$202,4,FALSE)," ")</f>
        <v xml:space="preserve"> </v>
      </c>
      <c r="X262" s="91" t="s">
        <v>1528</v>
      </c>
      <c r="Y262" s="96" t="s">
        <v>1540</v>
      </c>
      <c r="Z262" s="96" t="s">
        <v>1530</v>
      </c>
      <c r="AA262" s="97">
        <v>45936</v>
      </c>
      <c r="AB262" s="91" t="s">
        <v>1531</v>
      </c>
      <c r="AC262" s="130">
        <v>1001001</v>
      </c>
      <c r="AD262" s="130">
        <v>320216</v>
      </c>
      <c r="AE262" s="130">
        <v>3202161001</v>
      </c>
      <c r="AF262" s="130" t="s">
        <v>2347</v>
      </c>
    </row>
    <row r="263" spans="1:32" ht="42">
      <c r="A263" s="76">
        <f t="shared" si="8"/>
        <v>262</v>
      </c>
      <c r="B263" s="99">
        <f t="shared" si="8"/>
        <v>2230125263</v>
      </c>
      <c r="C263" s="100" t="s">
        <v>1883</v>
      </c>
      <c r="D263" s="101" t="s">
        <v>1884</v>
      </c>
      <c r="E263" s="101" t="s">
        <v>1885</v>
      </c>
      <c r="F263" s="99" t="s">
        <v>32</v>
      </c>
      <c r="G263" s="101" t="s">
        <v>1886</v>
      </c>
      <c r="H263" s="101" t="s">
        <v>34</v>
      </c>
      <c r="I263" s="138">
        <v>38621</v>
      </c>
      <c r="J263" s="99" t="s">
        <v>35</v>
      </c>
      <c r="K263" s="90" t="e">
        <f>PROPER(#REF!)</f>
        <v>#REF!</v>
      </c>
      <c r="L263" s="99" t="s">
        <v>437</v>
      </c>
      <c r="M263" s="99" t="s">
        <v>60</v>
      </c>
      <c r="N263" s="101" t="s">
        <v>1806</v>
      </c>
      <c r="O263" s="101" t="s">
        <v>1806</v>
      </c>
      <c r="P263" s="101" t="s">
        <v>1011</v>
      </c>
      <c r="Q263" s="99">
        <v>12630</v>
      </c>
      <c r="R263" s="22"/>
      <c r="S263" s="18" t="s">
        <v>52</v>
      </c>
      <c r="T263" s="21" t="str">
        <f>VLOOKUP(C263,'[1]TABEL SMA'!$C$8:$D$343,2,0)</f>
        <v xml:space="preserve">SMA SWASTA PATTIMURA JAKARTA </v>
      </c>
      <c r="U263" s="22" t="str">
        <f>IFERROR(VLOOKUP(Table11[[#This Row],[Nama]],'[1]TABEL BEASISWA'!$B$4:$D$202,2,FALSE),"TIDAK")</f>
        <v>TIDAK</v>
      </c>
      <c r="V263" s="83" t="str">
        <f>IFERROR(VLOOKUP(Table11[[#This Row],[Nama]],'[1]TABEL BEASISWA'!$B$4:$D$202,3,FALSE),"Tidak ada")</f>
        <v>Tidak ada</v>
      </c>
      <c r="W263" s="24" t="str">
        <f>IFERROR(VLOOKUP(Table11[[#This Row],[Nama]],'[1]TABEL BEASISWA'!$B$4:$E$202,4,FALSE)," ")</f>
        <v xml:space="preserve"> </v>
      </c>
      <c r="X263" s="91" t="s">
        <v>1528</v>
      </c>
      <c r="Y263" s="96" t="s">
        <v>1529</v>
      </c>
      <c r="Z263" s="96" t="s">
        <v>1530</v>
      </c>
      <c r="AA263" s="97">
        <v>45936</v>
      </c>
      <c r="AB263" s="91" t="s">
        <v>1531</v>
      </c>
      <c r="AC263" s="130">
        <v>1001001</v>
      </c>
      <c r="AD263" s="130">
        <v>317409</v>
      </c>
      <c r="AE263" s="130">
        <v>3174091006</v>
      </c>
      <c r="AF263" s="130" t="s">
        <v>2346</v>
      </c>
    </row>
    <row r="264" spans="1:32" ht="28">
      <c r="A264" s="76">
        <f t="shared" si="8"/>
        <v>263</v>
      </c>
      <c r="B264" s="87">
        <f t="shared" si="8"/>
        <v>2230125264</v>
      </c>
      <c r="C264" s="88" t="s">
        <v>1887</v>
      </c>
      <c r="D264" s="89" t="s">
        <v>1888</v>
      </c>
      <c r="E264" s="89" t="s">
        <v>1889</v>
      </c>
      <c r="F264" s="87" t="s">
        <v>67</v>
      </c>
      <c r="G264" s="89" t="s">
        <v>1890</v>
      </c>
      <c r="H264" s="89" t="s">
        <v>745</v>
      </c>
      <c r="I264" s="137">
        <v>38929</v>
      </c>
      <c r="J264" s="87" t="s">
        <v>35</v>
      </c>
      <c r="K264" s="90" t="e">
        <f>PROPER(#REF!)</f>
        <v>#REF!</v>
      </c>
      <c r="L264" s="87" t="s">
        <v>1167</v>
      </c>
      <c r="M264" s="87" t="s">
        <v>480</v>
      </c>
      <c r="N264" s="89" t="s">
        <v>1198</v>
      </c>
      <c r="O264" s="89" t="s">
        <v>1198</v>
      </c>
      <c r="P264" s="89" t="s">
        <v>1891</v>
      </c>
      <c r="Q264" s="87">
        <v>11730</v>
      </c>
      <c r="R264" s="22"/>
      <c r="S264" s="18" t="s">
        <v>52</v>
      </c>
      <c r="T264" s="21" t="str">
        <f>VLOOKUP(C264,'[1]TABEL SMA'!$C$8:$D$343,2,0)</f>
        <v>MAS KHAIRUL UMMAH</v>
      </c>
      <c r="U264" s="22" t="str">
        <f>IFERROR(VLOOKUP(Table11[[#This Row],[Nama]],'[1]TABEL BEASISWA'!$B$4:$D$202,2,FALSE),"TIDAK")</f>
        <v>YA</v>
      </c>
      <c r="V264" s="83" t="str">
        <f>IFERROR(VLOOKUP(Table11[[#This Row],[Nama]],'[1]TABEL BEASISWA'!$B$4:$D$202,3,FALSE),"Tidak ada")</f>
        <v>Beasiswa 100%, IFG</v>
      </c>
      <c r="W264" s="24" t="str">
        <f>IFERROR(VLOOKUP(Table11[[#This Row],[Nama]],'[1]TABEL BEASISWA'!$B$4:$E$202,4,FALSE)," ")</f>
        <v>Angkatan 5</v>
      </c>
      <c r="X264" s="91" t="s">
        <v>1528</v>
      </c>
      <c r="Y264" s="96" t="s">
        <v>1529</v>
      </c>
      <c r="Z264" s="96" t="s">
        <v>1582</v>
      </c>
      <c r="AA264" s="97">
        <v>45936</v>
      </c>
      <c r="AB264" s="91" t="s">
        <v>1531</v>
      </c>
      <c r="AC264" s="130">
        <v>1001001</v>
      </c>
      <c r="AD264" s="130">
        <v>317301</v>
      </c>
      <c r="AE264" s="130">
        <v>3173011001</v>
      </c>
      <c r="AF264" s="130" t="s">
        <v>2346</v>
      </c>
    </row>
    <row r="265" spans="1:32" ht="28">
      <c r="A265" s="76">
        <f t="shared" si="8"/>
        <v>264</v>
      </c>
      <c r="B265" s="99">
        <f t="shared" si="8"/>
        <v>2230125265</v>
      </c>
      <c r="C265" s="100" t="s">
        <v>1892</v>
      </c>
      <c r="D265" s="101" t="s">
        <v>1893</v>
      </c>
      <c r="E265" s="101" t="s">
        <v>1894</v>
      </c>
      <c r="F265" s="99" t="s">
        <v>67</v>
      </c>
      <c r="G265" s="101" t="s">
        <v>1895</v>
      </c>
      <c r="H265" s="101" t="s">
        <v>1896</v>
      </c>
      <c r="I265" s="138">
        <v>38698</v>
      </c>
      <c r="J265" s="99" t="s">
        <v>35</v>
      </c>
      <c r="K265" s="90" t="e">
        <f>PROPER(#REF!)</f>
        <v>#REF!</v>
      </c>
      <c r="L265" s="99" t="s">
        <v>79</v>
      </c>
      <c r="M265" s="99" t="s">
        <v>489</v>
      </c>
      <c r="N265" s="101" t="s">
        <v>1897</v>
      </c>
      <c r="O265" s="101" t="s">
        <v>1897</v>
      </c>
      <c r="P265" s="101" t="s">
        <v>1896</v>
      </c>
      <c r="Q265" s="99">
        <v>35378</v>
      </c>
      <c r="R265" s="22"/>
      <c r="S265" s="18" t="s">
        <v>52</v>
      </c>
      <c r="T265" s="21" t="str">
        <f>VLOOKUP(C265,'[1]TABEL SMA'!$C$8:$D$343,2,0)</f>
        <v xml:space="preserve">SMA XAVERIUS PRINGSEWU </v>
      </c>
      <c r="U265" s="22" t="str">
        <f>IFERROR(VLOOKUP(Table11[[#This Row],[Nama]],'[1]TABEL BEASISWA'!$B$4:$D$202,2,FALSE),"TIDAK")</f>
        <v>TIDAK</v>
      </c>
      <c r="V265" s="83" t="str">
        <f>IFERROR(VLOOKUP(Table11[[#This Row],[Nama]],'[1]TABEL BEASISWA'!$B$4:$D$202,3,FALSE),"Tidak ada")</f>
        <v>Tidak ada</v>
      </c>
      <c r="W265" s="24" t="str">
        <f>IFERROR(VLOOKUP(Table11[[#This Row],[Nama]],'[1]TABEL BEASISWA'!$B$4:$E$202,4,FALSE)," ")</f>
        <v xml:space="preserve"> </v>
      </c>
      <c r="X265" s="91" t="s">
        <v>1528</v>
      </c>
      <c r="Y265" s="96" t="s">
        <v>1529</v>
      </c>
      <c r="Z265" s="96" t="s">
        <v>1530</v>
      </c>
      <c r="AA265" s="97">
        <v>45936</v>
      </c>
      <c r="AB265" s="91" t="s">
        <v>1531</v>
      </c>
      <c r="AC265" s="130">
        <v>1001001</v>
      </c>
      <c r="AD265" s="130">
        <v>180620</v>
      </c>
      <c r="AE265" s="130">
        <v>1806202006</v>
      </c>
      <c r="AF265" s="130" t="s">
        <v>2346</v>
      </c>
    </row>
    <row r="266" spans="1:32" ht="42">
      <c r="A266" s="76">
        <f t="shared" si="8"/>
        <v>265</v>
      </c>
      <c r="B266" s="87">
        <f t="shared" si="8"/>
        <v>2230125266</v>
      </c>
      <c r="C266" s="88" t="s">
        <v>1898</v>
      </c>
      <c r="D266" s="88" t="s">
        <v>1899</v>
      </c>
      <c r="E266" s="89" t="s">
        <v>1900</v>
      </c>
      <c r="F266" s="87" t="s">
        <v>67</v>
      </c>
      <c r="G266" s="89" t="s">
        <v>1901</v>
      </c>
      <c r="H266" s="89" t="s">
        <v>294</v>
      </c>
      <c r="I266" s="137">
        <v>39246</v>
      </c>
      <c r="J266" s="87" t="s">
        <v>35</v>
      </c>
      <c r="K266" s="90" t="e">
        <f>PROPER(#REF!)</f>
        <v>#REF!</v>
      </c>
      <c r="L266" s="87" t="s">
        <v>61</v>
      </c>
      <c r="M266" s="87" t="s">
        <v>143</v>
      </c>
      <c r="N266" s="89" t="s">
        <v>1902</v>
      </c>
      <c r="O266" s="89" t="s">
        <v>1902</v>
      </c>
      <c r="P266" s="89" t="s">
        <v>1903</v>
      </c>
      <c r="Q266" s="87">
        <v>15212</v>
      </c>
      <c r="R266" s="22"/>
      <c r="S266" s="18" t="s">
        <v>365</v>
      </c>
      <c r="T266" s="21" t="str">
        <f>VLOOKUP(C266,'[1]TABEL SMA'!$C$8:$D$343,2,0)</f>
        <v>SMA NEGERI 5 KABUPATEN TANGERANG</v>
      </c>
      <c r="U266" s="22" t="str">
        <f>IFERROR(VLOOKUP(Table11[[#This Row],[Nama]],'[1]TABEL BEASISWA'!$B$4:$D$202,2,FALSE),"TIDAK")</f>
        <v>YA</v>
      </c>
      <c r="V266" s="83" t="str">
        <f>IFERROR(VLOOKUP(Table11[[#This Row],[Nama]],'[1]TABEL BEASISWA'!$B$4:$D$202,3,FALSE),"Tidak ada")</f>
        <v>Beasiswa 100%, IFG</v>
      </c>
      <c r="W266" s="24" t="str">
        <f>IFERROR(VLOOKUP(Table11[[#This Row],[Nama]],'[1]TABEL BEASISWA'!$B$4:$E$202,4,FALSE)," ")</f>
        <v>Angkatan 5</v>
      </c>
      <c r="X266" s="91" t="s">
        <v>1528</v>
      </c>
      <c r="Y266" s="96" t="s">
        <v>1529</v>
      </c>
      <c r="Z266" s="96" t="s">
        <v>1582</v>
      </c>
      <c r="AA266" s="97">
        <v>45936</v>
      </c>
      <c r="AB266" s="91" t="s">
        <v>1531</v>
      </c>
      <c r="AC266" s="130">
        <v>1001001</v>
      </c>
      <c r="AD266" s="130">
        <v>360314</v>
      </c>
      <c r="AE266" s="130">
        <v>3603142007</v>
      </c>
      <c r="AF266" s="130" t="s">
        <v>2347</v>
      </c>
    </row>
    <row r="267" spans="1:32" ht="28">
      <c r="A267" s="76">
        <f t="shared" si="8"/>
        <v>266</v>
      </c>
      <c r="B267" s="99">
        <f t="shared" si="8"/>
        <v>2230125267</v>
      </c>
      <c r="C267" s="100" t="s">
        <v>1904</v>
      </c>
      <c r="D267" s="101" t="s">
        <v>1905</v>
      </c>
      <c r="E267" s="101" t="s">
        <v>1906</v>
      </c>
      <c r="F267" s="99" t="s">
        <v>67</v>
      </c>
      <c r="G267" s="101" t="s">
        <v>1907</v>
      </c>
      <c r="H267" s="101" t="s">
        <v>454</v>
      </c>
      <c r="I267" s="138">
        <v>38858</v>
      </c>
      <c r="J267" s="99" t="s">
        <v>35</v>
      </c>
      <c r="K267" s="90" t="e">
        <f>PROPER(#REF!)</f>
        <v>#REF!</v>
      </c>
      <c r="L267" s="99" t="s">
        <v>61</v>
      </c>
      <c r="M267" s="99" t="s">
        <v>37</v>
      </c>
      <c r="N267" s="101" t="s">
        <v>1408</v>
      </c>
      <c r="O267" s="101" t="s">
        <v>1408</v>
      </c>
      <c r="P267" s="101" t="s">
        <v>526</v>
      </c>
      <c r="Q267" s="99">
        <v>17425</v>
      </c>
      <c r="R267" s="22"/>
      <c r="S267" s="18" t="s">
        <v>1291</v>
      </c>
      <c r="T267" s="21" t="str">
        <f>VLOOKUP(C267,'[1]TABEL SMA'!$C$8:$D$343,2,0)</f>
        <v>SMA NEGERI 6 BEKASI</v>
      </c>
      <c r="U267" s="22" t="str">
        <f>IFERROR(VLOOKUP(Table11[[#This Row],[Nama]],'[1]TABEL BEASISWA'!$B$4:$D$202,2,FALSE),"TIDAK")</f>
        <v>YA</v>
      </c>
      <c r="V267" s="83" t="str">
        <f>IFERROR(VLOOKUP(Table11[[#This Row],[Nama]],'[1]TABEL BEASISWA'!$B$4:$D$202,3,FALSE),"Tidak ada")</f>
        <v>Beasiswa 100%, IFG</v>
      </c>
      <c r="W267" s="24" t="str">
        <f>IFERROR(VLOOKUP(Table11[[#This Row],[Nama]],'[1]TABEL BEASISWA'!$B$4:$E$202,4,FALSE)," ")</f>
        <v>Angkatan 5</v>
      </c>
      <c r="X267" s="91" t="s">
        <v>1528</v>
      </c>
      <c r="Y267" s="96" t="s">
        <v>1529</v>
      </c>
      <c r="Z267" s="96" t="s">
        <v>1582</v>
      </c>
      <c r="AA267" s="97">
        <v>45936</v>
      </c>
      <c r="AB267" s="91" t="s">
        <v>1531</v>
      </c>
      <c r="AC267" s="130">
        <v>1001001</v>
      </c>
      <c r="AD267" s="130">
        <v>327509</v>
      </c>
      <c r="AE267" s="130">
        <v>3275091005</v>
      </c>
      <c r="AF267" s="130" t="s">
        <v>2348</v>
      </c>
    </row>
    <row r="268" spans="1:32">
      <c r="A268" s="76">
        <f t="shared" si="8"/>
        <v>267</v>
      </c>
      <c r="B268" s="87">
        <f t="shared" si="8"/>
        <v>2230125268</v>
      </c>
      <c r="C268" s="88" t="s">
        <v>1908</v>
      </c>
      <c r="D268" s="88" t="s">
        <v>1909</v>
      </c>
      <c r="E268" s="89" t="s">
        <v>1910</v>
      </c>
      <c r="F268" s="87" t="s">
        <v>67</v>
      </c>
      <c r="G268" s="89" t="s">
        <v>1911</v>
      </c>
      <c r="H268" s="88" t="s">
        <v>34</v>
      </c>
      <c r="I268" s="137" t="s">
        <v>1912</v>
      </c>
      <c r="J268" s="87" t="s">
        <v>35</v>
      </c>
      <c r="K268" s="90" t="e">
        <f>PROPER(#REF!)</f>
        <v>#REF!</v>
      </c>
      <c r="L268" s="87" t="s">
        <v>60</v>
      </c>
      <c r="M268" s="87" t="s">
        <v>60</v>
      </c>
      <c r="N268" s="89" t="s">
        <v>1913</v>
      </c>
      <c r="O268" s="89" t="s">
        <v>1913</v>
      </c>
      <c r="P268" s="89" t="s">
        <v>1018</v>
      </c>
      <c r="Q268" s="87">
        <v>13450</v>
      </c>
      <c r="R268" s="22"/>
      <c r="S268" s="18" t="s">
        <v>52</v>
      </c>
      <c r="T268" s="21" t="str">
        <f>VLOOKUP(C268,'[1]TABEL SMA'!$C$8:$D$343,2,0)</f>
        <v>SMAN 59 JAKARTA</v>
      </c>
      <c r="U268" s="22" t="str">
        <f>IFERROR(VLOOKUP(Table11[[#This Row],[Nama]],'[1]TABEL BEASISWA'!$B$4:$D$202,2,FALSE),"TIDAK")</f>
        <v>TIDAK</v>
      </c>
      <c r="V268" s="83" t="str">
        <f>IFERROR(VLOOKUP(Table11[[#This Row],[Nama]],'[1]TABEL BEASISWA'!$B$4:$D$202,3,FALSE),"Tidak ada")</f>
        <v>Tidak ada</v>
      </c>
      <c r="W268" s="24" t="str">
        <f>IFERROR(VLOOKUP(Table11[[#This Row],[Nama]],'[1]TABEL BEASISWA'!$B$4:$E$202,4,FALSE)," ")</f>
        <v xml:space="preserve"> </v>
      </c>
      <c r="X268" s="91" t="s">
        <v>1528</v>
      </c>
      <c r="Y268" s="96" t="s">
        <v>1529</v>
      </c>
      <c r="Z268" s="96" t="s">
        <v>1530</v>
      </c>
      <c r="AA268" s="97">
        <v>45936</v>
      </c>
      <c r="AB268" s="91" t="s">
        <v>1531</v>
      </c>
      <c r="AC268" s="130">
        <v>1001001</v>
      </c>
      <c r="AD268" s="130">
        <v>317507</v>
      </c>
      <c r="AE268" s="130">
        <v>3175071004</v>
      </c>
      <c r="AF268" s="130" t="s">
        <v>2346</v>
      </c>
    </row>
    <row r="269" spans="1:32" ht="28">
      <c r="A269" s="76">
        <f t="shared" si="8"/>
        <v>268</v>
      </c>
      <c r="B269" s="99">
        <f t="shared" si="8"/>
        <v>2230125269</v>
      </c>
      <c r="C269" s="100" t="s">
        <v>1914</v>
      </c>
      <c r="D269" s="101" t="s">
        <v>1915</v>
      </c>
      <c r="E269" s="101">
        <v>9895817800</v>
      </c>
      <c r="F269" s="99" t="s">
        <v>67</v>
      </c>
      <c r="G269" s="101" t="s">
        <v>1916</v>
      </c>
      <c r="H269" s="101" t="s">
        <v>1787</v>
      </c>
      <c r="I269" s="138">
        <v>32653</v>
      </c>
      <c r="J269" s="99" t="s">
        <v>35</v>
      </c>
      <c r="K269" s="90" t="e">
        <f>PROPER(#REF!)</f>
        <v>#REF!</v>
      </c>
      <c r="L269" s="99" t="s">
        <v>480</v>
      </c>
      <c r="M269" s="99" t="s">
        <v>60</v>
      </c>
      <c r="N269" s="101" t="s">
        <v>1917</v>
      </c>
      <c r="O269" s="101" t="s">
        <v>1917</v>
      </c>
      <c r="P269" s="101" t="s">
        <v>1918</v>
      </c>
      <c r="Q269" s="99">
        <v>45255</v>
      </c>
      <c r="R269" s="22"/>
      <c r="S269" s="18" t="s">
        <v>458</v>
      </c>
      <c r="T269" s="21" t="str">
        <f>VLOOKUP(C269,'[1]TABEL SMA'!$C$8:$D$343,2,0)</f>
        <v>SMA INDRAMAYU (PAKET C)</v>
      </c>
      <c r="U269" s="22" t="str">
        <f>IFERROR(VLOOKUP(Table11[[#This Row],[Nama]],'[1]TABEL BEASISWA'!$B$4:$D$202,2,FALSE),"TIDAK")</f>
        <v>TIDAK</v>
      </c>
      <c r="V269" s="83" t="str">
        <f>IFERROR(VLOOKUP(Table11[[#This Row],[Nama]],'[1]TABEL BEASISWA'!$B$4:$D$202,3,FALSE),"Tidak ada")</f>
        <v>Tidak ada</v>
      </c>
      <c r="W269" s="24" t="str">
        <f>IFERROR(VLOOKUP(Table11[[#This Row],[Nama]],'[1]TABEL BEASISWA'!$B$4:$E$202,4,FALSE)," ")</f>
        <v xml:space="preserve"> </v>
      </c>
      <c r="X269" s="91" t="s">
        <v>1528</v>
      </c>
      <c r="Y269" s="96" t="s">
        <v>1540</v>
      </c>
      <c r="Z269" s="96" t="s">
        <v>1530</v>
      </c>
      <c r="AA269" s="97">
        <v>45936</v>
      </c>
      <c r="AB269" s="91" t="s">
        <v>1919</v>
      </c>
      <c r="AC269" s="130">
        <v>1001001</v>
      </c>
      <c r="AD269" s="130">
        <v>321228</v>
      </c>
      <c r="AE269" s="130">
        <v>3212282005</v>
      </c>
      <c r="AF269" s="130" t="s">
        <v>2348</v>
      </c>
    </row>
    <row r="270" spans="1:32">
      <c r="A270" s="76">
        <f t="shared" si="8"/>
        <v>269</v>
      </c>
      <c r="B270" s="105">
        <f t="shared" si="8"/>
        <v>2230125270</v>
      </c>
      <c r="C270" s="106" t="s">
        <v>1920</v>
      </c>
      <c r="D270" s="89" t="s">
        <v>140</v>
      </c>
      <c r="E270" s="89">
        <v>9926050599</v>
      </c>
      <c r="F270" s="87" t="s">
        <v>67</v>
      </c>
      <c r="G270" s="89" t="s">
        <v>1921</v>
      </c>
      <c r="H270" s="89" t="s">
        <v>1545</v>
      </c>
      <c r="I270" s="137" t="s">
        <v>1922</v>
      </c>
      <c r="J270" s="87" t="s">
        <v>35</v>
      </c>
      <c r="K270" s="90" t="e">
        <f>PROPER(#REF!)</f>
        <v>#REF!</v>
      </c>
      <c r="L270" s="87" t="s">
        <v>437</v>
      </c>
      <c r="M270" s="87" t="s">
        <v>437</v>
      </c>
      <c r="N270" s="89" t="s">
        <v>1695</v>
      </c>
      <c r="O270" s="89" t="s">
        <v>1696</v>
      </c>
      <c r="P270" s="89" t="s">
        <v>1611</v>
      </c>
      <c r="Q270" s="87">
        <v>11610</v>
      </c>
      <c r="R270" s="22"/>
      <c r="S270" s="18" t="s">
        <v>458</v>
      </c>
      <c r="T270" s="21" t="e">
        <f>VLOOKUP(C270,'[1]TABEL SMA'!$C$8:$D$343,2,0)</f>
        <v>#N/A</v>
      </c>
      <c r="U270" s="22" t="str">
        <f>IFERROR(VLOOKUP(Table11[[#This Row],[Nama]],'[1]TABEL BEASISWA'!$B$4:$D$202,2,FALSE),"TIDAK")</f>
        <v>TIDAK</v>
      </c>
      <c r="V270" s="83" t="str">
        <f>IFERROR(VLOOKUP(Table11[[#This Row],[Nama]],'[1]TABEL BEASISWA'!$B$4:$D$202,3,FALSE),"Tidak ada")</f>
        <v>Tidak ada</v>
      </c>
      <c r="W270" s="24" t="str">
        <f>IFERROR(VLOOKUP(Table11[[#This Row],[Nama]],'[1]TABEL BEASISWA'!$B$4:$E$202,4,FALSE)," ")</f>
        <v xml:space="preserve"> </v>
      </c>
      <c r="X270" s="91" t="s">
        <v>1528</v>
      </c>
      <c r="Y270" s="96" t="s">
        <v>1529</v>
      </c>
      <c r="Z270" s="96" t="s">
        <v>1582</v>
      </c>
      <c r="AA270" s="97">
        <v>45936</v>
      </c>
      <c r="AB270" s="91" t="s">
        <v>1531</v>
      </c>
      <c r="AC270" s="130">
        <v>1001001</v>
      </c>
      <c r="AD270" s="130">
        <v>317308</v>
      </c>
      <c r="AE270" s="130">
        <v>3173081001</v>
      </c>
      <c r="AF270" s="130" t="s">
        <v>2348</v>
      </c>
    </row>
    <row r="271" spans="1:32" ht="42">
      <c r="A271" s="76">
        <f t="shared" si="8"/>
        <v>270</v>
      </c>
      <c r="B271" s="99">
        <f t="shared" si="8"/>
        <v>2230125271</v>
      </c>
      <c r="C271" s="100" t="s">
        <v>1923</v>
      </c>
      <c r="D271" s="101" t="s">
        <v>1924</v>
      </c>
      <c r="E271" s="101" t="s">
        <v>1925</v>
      </c>
      <c r="F271" s="99" t="s">
        <v>32</v>
      </c>
      <c r="G271" s="101" t="s">
        <v>1926</v>
      </c>
      <c r="H271" s="101" t="s">
        <v>34</v>
      </c>
      <c r="I271" s="138">
        <v>39048</v>
      </c>
      <c r="J271" s="99" t="s">
        <v>35</v>
      </c>
      <c r="K271" s="90" t="e">
        <f>PROPER(#REF!)</f>
        <v>#REF!</v>
      </c>
      <c r="L271" s="99" t="s">
        <v>79</v>
      </c>
      <c r="M271" s="99" t="s">
        <v>50</v>
      </c>
      <c r="N271" s="101" t="s">
        <v>1927</v>
      </c>
      <c r="O271" s="101" t="s">
        <v>1927</v>
      </c>
      <c r="P271" s="101" t="s">
        <v>1691</v>
      </c>
      <c r="Q271" s="99">
        <v>16423</v>
      </c>
      <c r="R271" s="22"/>
      <c r="S271" s="18" t="s">
        <v>52</v>
      </c>
      <c r="T271" s="21" t="str">
        <f>VLOOKUP(C271,'[1]TABEL SMA'!$C$8:$D$343,2,0)</f>
        <v xml:space="preserve">SMA SWASTA PATTIMURA JAKARTA </v>
      </c>
      <c r="U271" s="22" t="str">
        <f>IFERROR(VLOOKUP(Table11[[#This Row],[Nama]],'[1]TABEL BEASISWA'!$B$4:$D$202,2,FALSE),"TIDAK")</f>
        <v>TIDAK</v>
      </c>
      <c r="V271" s="83" t="str">
        <f>IFERROR(VLOOKUP(Table11[[#This Row],[Nama]],'[1]TABEL BEASISWA'!$B$4:$D$202,3,FALSE),"Tidak ada")</f>
        <v>Tidak ada</v>
      </c>
      <c r="W271" s="24" t="str">
        <f>IFERROR(VLOOKUP(Table11[[#This Row],[Nama]],'[1]TABEL BEASISWA'!$B$4:$E$202,4,FALSE)," ")</f>
        <v xml:space="preserve"> </v>
      </c>
      <c r="X271" s="91" t="s">
        <v>1528</v>
      </c>
      <c r="Y271" s="96" t="s">
        <v>1529</v>
      </c>
      <c r="Z271" s="96" t="s">
        <v>1530</v>
      </c>
      <c r="AA271" s="97">
        <v>45936</v>
      </c>
      <c r="AB271" s="91" t="s">
        <v>1531</v>
      </c>
      <c r="AC271" s="130">
        <v>1001001</v>
      </c>
      <c r="AD271" s="130">
        <v>327606</v>
      </c>
      <c r="AE271" s="130">
        <v>3276061004</v>
      </c>
      <c r="AF271" s="130" t="s">
        <v>2346</v>
      </c>
    </row>
    <row r="272" spans="1:32" ht="42">
      <c r="A272" s="76">
        <f t="shared" si="8"/>
        <v>271</v>
      </c>
      <c r="B272" s="87">
        <f t="shared" si="8"/>
        <v>2230125272</v>
      </c>
      <c r="C272" s="88" t="s">
        <v>1928</v>
      </c>
      <c r="D272" s="89" t="s">
        <v>1929</v>
      </c>
      <c r="E272" s="89" t="s">
        <v>1930</v>
      </c>
      <c r="F272" s="87" t="s">
        <v>32</v>
      </c>
      <c r="G272" s="89" t="s">
        <v>1931</v>
      </c>
      <c r="H272" s="89" t="s">
        <v>1932</v>
      </c>
      <c r="I272" s="137">
        <v>39159</v>
      </c>
      <c r="J272" s="87" t="s">
        <v>35</v>
      </c>
      <c r="K272" s="90" t="e">
        <f>PROPER(#REF!)</f>
        <v>#REF!</v>
      </c>
      <c r="L272" s="87" t="s">
        <v>1043</v>
      </c>
      <c r="M272" s="87" t="s">
        <v>1043</v>
      </c>
      <c r="N272" s="89" t="s">
        <v>1933</v>
      </c>
      <c r="O272" s="89" t="s">
        <v>1933</v>
      </c>
      <c r="P272" s="89" t="s">
        <v>1934</v>
      </c>
      <c r="Q272" s="87">
        <v>24415</v>
      </c>
      <c r="R272" s="22"/>
      <c r="S272" s="18" t="s">
        <v>52</v>
      </c>
      <c r="T272" s="21" t="str">
        <f>VLOOKUP(C272,'[1]TABEL SMA'!$C$8:$D$343,2,0)</f>
        <v>MAN INSAN CENDIKIA ACEH TIMUR</v>
      </c>
      <c r="U272" s="22" t="str">
        <f>IFERROR(VLOOKUP(Table11[[#This Row],[Nama]],'[1]TABEL BEASISWA'!$B$4:$D$202,2,FALSE),"TIDAK")</f>
        <v>TIDAK</v>
      </c>
      <c r="V272" s="83" t="str">
        <f>IFERROR(VLOOKUP(Table11[[#This Row],[Nama]],'[1]TABEL BEASISWA'!$B$4:$D$202,3,FALSE),"Tidak ada")</f>
        <v>Tidak ada</v>
      </c>
      <c r="W272" s="24" t="str">
        <f>IFERROR(VLOOKUP(Table11[[#This Row],[Nama]],'[1]TABEL BEASISWA'!$B$4:$E$202,4,FALSE)," ")</f>
        <v xml:space="preserve"> </v>
      </c>
      <c r="X272" s="91" t="s">
        <v>1528</v>
      </c>
      <c r="Y272" s="96" t="s">
        <v>1529</v>
      </c>
      <c r="Z272" s="96" t="s">
        <v>1530</v>
      </c>
      <c r="AA272" s="97">
        <v>45936</v>
      </c>
      <c r="AB272" s="91" t="s">
        <v>1531</v>
      </c>
      <c r="AC272" s="130">
        <v>1001001</v>
      </c>
      <c r="AD272" s="130">
        <v>117405</v>
      </c>
      <c r="AE272" s="130">
        <v>1174052007</v>
      </c>
      <c r="AF272" s="130" t="s">
        <v>2346</v>
      </c>
    </row>
    <row r="273" spans="1:32" ht="42">
      <c r="A273" s="76">
        <f t="shared" si="8"/>
        <v>272</v>
      </c>
      <c r="B273" s="99">
        <f t="shared" si="8"/>
        <v>2230125273</v>
      </c>
      <c r="C273" s="100" t="s">
        <v>1935</v>
      </c>
      <c r="D273" s="101" t="s">
        <v>1936</v>
      </c>
      <c r="E273" s="101" t="s">
        <v>1937</v>
      </c>
      <c r="F273" s="99" t="s">
        <v>67</v>
      </c>
      <c r="G273" s="101" t="s">
        <v>1938</v>
      </c>
      <c r="H273" s="101" t="s">
        <v>294</v>
      </c>
      <c r="I273" s="138">
        <v>39415</v>
      </c>
      <c r="J273" s="99" t="s">
        <v>35</v>
      </c>
      <c r="K273" s="90" t="e">
        <f>PROPER(#REF!)</f>
        <v>#REF!</v>
      </c>
      <c r="L273" s="99" t="s">
        <v>205</v>
      </c>
      <c r="M273" s="99" t="s">
        <v>79</v>
      </c>
      <c r="N273" s="101" t="s">
        <v>1939</v>
      </c>
      <c r="O273" s="101" t="s">
        <v>1939</v>
      </c>
      <c r="P273" s="101" t="s">
        <v>1940</v>
      </c>
      <c r="Q273" s="99">
        <v>15310</v>
      </c>
      <c r="R273" s="22"/>
      <c r="S273" s="18" t="s">
        <v>365</v>
      </c>
      <c r="T273" s="21" t="str">
        <f>VLOOKUP(C273,'[1]TABEL SMA'!$C$8:$D$343,2,0)</f>
        <v>SMA NEGERI 2 KOTA TANGERANG SELATAN</v>
      </c>
      <c r="U273" s="22" t="str">
        <f>IFERROR(VLOOKUP(Table11[[#This Row],[Nama]],'[1]TABEL BEASISWA'!$B$4:$D$202,2,FALSE),"TIDAK")</f>
        <v>TIDAK</v>
      </c>
      <c r="V273" s="83" t="str">
        <f>IFERROR(VLOOKUP(Table11[[#This Row],[Nama]],'[1]TABEL BEASISWA'!$B$4:$D$202,3,FALSE),"Tidak ada")</f>
        <v>Tidak ada</v>
      </c>
      <c r="W273" s="24" t="str">
        <f>IFERROR(VLOOKUP(Table11[[#This Row],[Nama]],'[1]TABEL BEASISWA'!$B$4:$E$202,4,FALSE)," ")</f>
        <v xml:space="preserve"> </v>
      </c>
      <c r="X273" s="91" t="s">
        <v>1528</v>
      </c>
      <c r="Y273" s="96" t="s">
        <v>1529</v>
      </c>
      <c r="Z273" s="96" t="s">
        <v>1530</v>
      </c>
      <c r="AA273" s="97">
        <v>45936</v>
      </c>
      <c r="AB273" s="91" t="s">
        <v>1531</v>
      </c>
      <c r="AC273" s="130">
        <v>1001001</v>
      </c>
      <c r="AD273" s="130">
        <v>367401</v>
      </c>
      <c r="AE273" s="130">
        <v>3674011001</v>
      </c>
      <c r="AF273" s="130" t="s">
        <v>2347</v>
      </c>
    </row>
    <row r="274" spans="1:32" ht="28">
      <c r="A274" s="76">
        <f t="shared" si="8"/>
        <v>273</v>
      </c>
      <c r="B274" s="87">
        <f t="shared" si="8"/>
        <v>2230125274</v>
      </c>
      <c r="C274" s="88" t="s">
        <v>1941</v>
      </c>
      <c r="D274" s="89" t="s">
        <v>1942</v>
      </c>
      <c r="E274" s="89">
        <v>9982623001</v>
      </c>
      <c r="F274" s="87" t="s">
        <v>32</v>
      </c>
      <c r="G274" s="89" t="s">
        <v>1943</v>
      </c>
      <c r="H274" s="89" t="s">
        <v>294</v>
      </c>
      <c r="I274" s="137" t="s">
        <v>1944</v>
      </c>
      <c r="J274" s="87" t="s">
        <v>1368</v>
      </c>
      <c r="K274" s="90" t="e">
        <f>PROPER(#REF!)</f>
        <v>#REF!</v>
      </c>
      <c r="L274" s="87" t="s">
        <v>60</v>
      </c>
      <c r="M274" s="87" t="s">
        <v>60</v>
      </c>
      <c r="N274" s="89" t="s">
        <v>1945</v>
      </c>
      <c r="O274" s="89" t="s">
        <v>1945</v>
      </c>
      <c r="P274" s="89" t="s">
        <v>1946</v>
      </c>
      <c r="Q274" s="87">
        <v>15730</v>
      </c>
      <c r="R274" s="22"/>
      <c r="S274" s="18" t="s">
        <v>365</v>
      </c>
      <c r="T274" s="21" t="str">
        <f>VLOOKUP(C274,'[1]TABEL SMA'!$C$8:$D$343,2,0)</f>
        <v>SMA ADVENT PURWODADI</v>
      </c>
      <c r="U274" s="22" t="str">
        <f>IFERROR(VLOOKUP(Table11[[#This Row],[Nama]],'[1]TABEL BEASISWA'!$B$4:$D$202,2,FALSE),"TIDAK")</f>
        <v>TIDAK</v>
      </c>
      <c r="V274" s="83" t="str">
        <f>IFERROR(VLOOKUP(Table11[[#This Row],[Nama]],'[1]TABEL BEASISWA'!$B$4:$D$202,3,FALSE),"Tidak ada")</f>
        <v>Tidak ada</v>
      </c>
      <c r="W274" s="24" t="str">
        <f>IFERROR(VLOOKUP(Table11[[#This Row],[Nama]],'[1]TABEL BEASISWA'!$B$4:$E$202,4,FALSE)," ")</f>
        <v xml:space="preserve"> </v>
      </c>
      <c r="X274" s="91" t="s">
        <v>1528</v>
      </c>
      <c r="Y274" s="96" t="s">
        <v>1529</v>
      </c>
      <c r="Z274" s="96" t="s">
        <v>1530</v>
      </c>
      <c r="AA274" s="97">
        <v>45936</v>
      </c>
      <c r="AB274" s="91" t="s">
        <v>1531</v>
      </c>
      <c r="AC274" s="130">
        <v>1001002</v>
      </c>
      <c r="AD274" s="130">
        <v>360331</v>
      </c>
      <c r="AE274" s="130">
        <v>3603312003</v>
      </c>
      <c r="AF274" s="130" t="s">
        <v>2347</v>
      </c>
    </row>
    <row r="275" spans="1:32" ht="28">
      <c r="A275" s="76">
        <f t="shared" si="8"/>
        <v>274</v>
      </c>
      <c r="B275" s="99">
        <f t="shared" si="8"/>
        <v>2230125275</v>
      </c>
      <c r="C275" s="100" t="s">
        <v>1947</v>
      </c>
      <c r="D275" s="101" t="s">
        <v>1948</v>
      </c>
      <c r="E275" s="101" t="s">
        <v>1949</v>
      </c>
      <c r="F275" s="99" t="s">
        <v>67</v>
      </c>
      <c r="G275" s="101" t="s">
        <v>1950</v>
      </c>
      <c r="H275" s="101" t="s">
        <v>1209</v>
      </c>
      <c r="I275" s="138" t="s">
        <v>1951</v>
      </c>
      <c r="J275" s="99" t="s">
        <v>35</v>
      </c>
      <c r="K275" s="90" t="e">
        <f>PROPER(#REF!)</f>
        <v>#REF!</v>
      </c>
      <c r="L275" s="99" t="s">
        <v>140</v>
      </c>
      <c r="M275" s="99" t="s">
        <v>140</v>
      </c>
      <c r="N275" s="101" t="s">
        <v>62</v>
      </c>
      <c r="O275" s="101" t="s">
        <v>62</v>
      </c>
      <c r="P275" s="101" t="s">
        <v>457</v>
      </c>
      <c r="Q275" s="99">
        <v>17510</v>
      </c>
      <c r="R275" s="22"/>
      <c r="S275" s="18" t="s">
        <v>52</v>
      </c>
      <c r="T275" s="21" t="str">
        <f>VLOOKUP(C275,'[1]TABEL SMA'!$C$8:$D$343,2,0)</f>
        <v>SMK BINAKARYA MANDIRI 2 BEKASI</v>
      </c>
      <c r="U275" s="22" t="str">
        <f>IFERROR(VLOOKUP(Table11[[#This Row],[Nama]],'[1]TABEL BEASISWA'!$B$4:$D$202,2,FALSE),"TIDAK")</f>
        <v>TIDAK</v>
      </c>
      <c r="V275" s="83" t="str">
        <f>IFERROR(VLOOKUP(Table11[[#This Row],[Nama]],'[1]TABEL BEASISWA'!$B$4:$D$202,3,FALSE),"Tidak ada")</f>
        <v>Tidak ada</v>
      </c>
      <c r="W275" s="24" t="str">
        <f>IFERROR(VLOOKUP(Table11[[#This Row],[Nama]],'[1]TABEL BEASISWA'!$B$4:$E$202,4,FALSE)," ")</f>
        <v xml:space="preserve"> </v>
      </c>
      <c r="X275" s="91" t="s">
        <v>1528</v>
      </c>
      <c r="Y275" s="96" t="s">
        <v>1540</v>
      </c>
      <c r="Z275" s="96" t="s">
        <v>1530</v>
      </c>
      <c r="AA275" s="97">
        <v>45936</v>
      </c>
      <c r="AB275" s="91" t="s">
        <v>1919</v>
      </c>
      <c r="AC275" s="130">
        <v>1001001</v>
      </c>
      <c r="AD275" s="130">
        <v>321606</v>
      </c>
      <c r="AE275" s="130">
        <v>3216061001</v>
      </c>
      <c r="AF275" s="130" t="s">
        <v>2346</v>
      </c>
    </row>
    <row r="276" spans="1:32" ht="28">
      <c r="A276" s="76">
        <f t="shared" si="8"/>
        <v>275</v>
      </c>
      <c r="B276" s="87">
        <f t="shared" si="8"/>
        <v>2230125276</v>
      </c>
      <c r="C276" s="88" t="s">
        <v>1952</v>
      </c>
      <c r="D276" s="89" t="s">
        <v>1953</v>
      </c>
      <c r="E276" s="89" t="s">
        <v>1954</v>
      </c>
      <c r="F276" s="87" t="s">
        <v>67</v>
      </c>
      <c r="G276" s="89" t="s">
        <v>1955</v>
      </c>
      <c r="H276" s="89" t="s">
        <v>195</v>
      </c>
      <c r="I276" s="137">
        <v>39087</v>
      </c>
      <c r="J276" s="87" t="s">
        <v>35</v>
      </c>
      <c r="K276" s="90" t="e">
        <f>PROPER(#REF!)</f>
        <v>#REF!</v>
      </c>
      <c r="L276" s="87" t="s">
        <v>60</v>
      </c>
      <c r="M276" s="87" t="s">
        <v>50</v>
      </c>
      <c r="N276" s="89" t="s">
        <v>195</v>
      </c>
      <c r="O276" s="89" t="s">
        <v>195</v>
      </c>
      <c r="P276" s="89" t="s">
        <v>685</v>
      </c>
      <c r="Q276" s="87">
        <v>28411</v>
      </c>
      <c r="R276" s="22"/>
      <c r="S276" s="18" t="s">
        <v>1291</v>
      </c>
      <c r="T276" s="21" t="str">
        <f>VLOOKUP(C276,'[1]TABEL SMA'!$C$8:$D$343,2,0)</f>
        <v xml:space="preserve">SMA NEGERI 1 BANGKINANG KOTA </v>
      </c>
      <c r="U276" s="22" t="str">
        <f>IFERROR(VLOOKUP(Table11[[#This Row],[Nama]],'[1]TABEL BEASISWA'!$B$4:$D$202,2,FALSE),"TIDAK")</f>
        <v>TIDAK</v>
      </c>
      <c r="V276" s="83" t="str">
        <f>IFERROR(VLOOKUP(Table11[[#This Row],[Nama]],'[1]TABEL BEASISWA'!$B$4:$D$202,3,FALSE),"Tidak ada")</f>
        <v>Tidak ada</v>
      </c>
      <c r="W276" s="24" t="str">
        <f>IFERROR(VLOOKUP(Table11[[#This Row],[Nama]],'[1]TABEL BEASISWA'!$B$4:$E$202,4,FALSE)," ")</f>
        <v xml:space="preserve"> </v>
      </c>
      <c r="X276" s="91" t="s">
        <v>1528</v>
      </c>
      <c r="Y276" s="96" t="s">
        <v>1529</v>
      </c>
      <c r="Z276" s="96" t="s">
        <v>1530</v>
      </c>
      <c r="AA276" s="97">
        <v>45936</v>
      </c>
      <c r="AB276" s="91" t="s">
        <v>1531</v>
      </c>
      <c r="AC276" s="130">
        <v>1001001</v>
      </c>
      <c r="AD276" s="130">
        <v>140101</v>
      </c>
      <c r="AE276" s="130">
        <v>1401011011</v>
      </c>
      <c r="AF276" s="130" t="s">
        <v>2348</v>
      </c>
    </row>
    <row r="277" spans="1:32" ht="28">
      <c r="A277" s="76">
        <f t="shared" si="8"/>
        <v>276</v>
      </c>
      <c r="B277" s="99">
        <f t="shared" si="8"/>
        <v>2230125277</v>
      </c>
      <c r="C277" s="100" t="s">
        <v>1956</v>
      </c>
      <c r="D277" s="101" t="s">
        <v>1957</v>
      </c>
      <c r="E277" s="101" t="s">
        <v>1958</v>
      </c>
      <c r="F277" s="99" t="s">
        <v>67</v>
      </c>
      <c r="G277" s="101" t="s">
        <v>1959</v>
      </c>
      <c r="H277" s="101" t="s">
        <v>454</v>
      </c>
      <c r="I277" s="138" t="s">
        <v>1960</v>
      </c>
      <c r="J277" s="99" t="s">
        <v>35</v>
      </c>
      <c r="K277" s="90" t="e">
        <f>PROPER(#REF!)</f>
        <v>#REF!</v>
      </c>
      <c r="L277" s="99">
        <v>1</v>
      </c>
      <c r="M277" s="99">
        <v>3</v>
      </c>
      <c r="N277" s="101" t="s">
        <v>1961</v>
      </c>
      <c r="O277" s="101" t="s">
        <v>1961</v>
      </c>
      <c r="P277" s="101" t="s">
        <v>1962</v>
      </c>
      <c r="Q277" s="99">
        <v>17412</v>
      </c>
      <c r="R277" s="22"/>
      <c r="S277" s="18" t="s">
        <v>52</v>
      </c>
      <c r="T277" s="21" t="str">
        <f>VLOOKUP(C277,'[1]TABEL SMA'!$C$8:$D$343,2,0)</f>
        <v>SMKN 9 KOTA BEKASI</v>
      </c>
      <c r="U277" s="22" t="str">
        <f>IFERROR(VLOOKUP(Table11[[#This Row],[Nama]],'[1]TABEL BEASISWA'!$B$4:$D$202,2,FALSE),"TIDAK")</f>
        <v>TIDAK</v>
      </c>
      <c r="V277" s="83" t="str">
        <f>IFERROR(VLOOKUP(Table11[[#This Row],[Nama]],'[1]TABEL BEASISWA'!$B$4:$D$202,3,FALSE),"Tidak ada")</f>
        <v>Tidak ada</v>
      </c>
      <c r="W277" s="24" t="str">
        <f>IFERROR(VLOOKUP(Table11[[#This Row],[Nama]],'[1]TABEL BEASISWA'!$B$4:$E$202,4,FALSE)," ")</f>
        <v xml:space="preserve"> </v>
      </c>
      <c r="X277" s="91" t="s">
        <v>1528</v>
      </c>
      <c r="Y277" s="96" t="s">
        <v>1529</v>
      </c>
      <c r="Z277" s="96" t="s">
        <v>1530</v>
      </c>
      <c r="AA277" s="97">
        <v>45936</v>
      </c>
      <c r="AB277" s="91" t="s">
        <v>1531</v>
      </c>
      <c r="AC277" s="130">
        <v>1001001</v>
      </c>
      <c r="AD277" s="130">
        <v>327508</v>
      </c>
      <c r="AE277" s="130">
        <v>3275081006</v>
      </c>
      <c r="AF277" s="130" t="s">
        <v>2346</v>
      </c>
    </row>
    <row r="278" spans="1:32" ht="28">
      <c r="A278" s="76">
        <f t="shared" ref="A278:B293" si="9">A277+1</f>
        <v>277</v>
      </c>
      <c r="B278" s="87">
        <f t="shared" si="9"/>
        <v>2230125278</v>
      </c>
      <c r="C278" s="88" t="s">
        <v>1963</v>
      </c>
      <c r="D278" s="88" t="s">
        <v>1964</v>
      </c>
      <c r="E278" s="89" t="s">
        <v>1965</v>
      </c>
      <c r="F278" s="87" t="s">
        <v>67</v>
      </c>
      <c r="G278" s="89" t="s">
        <v>1966</v>
      </c>
      <c r="H278" s="89" t="s">
        <v>34</v>
      </c>
      <c r="I278" s="137">
        <v>38867</v>
      </c>
      <c r="J278" s="87" t="s">
        <v>35</v>
      </c>
      <c r="K278" s="90" t="e">
        <f>PROPER(#REF!)</f>
        <v>#REF!</v>
      </c>
      <c r="L278" s="87" t="s">
        <v>37</v>
      </c>
      <c r="M278" s="87" t="s">
        <v>61</v>
      </c>
      <c r="N278" s="89" t="s">
        <v>1011</v>
      </c>
      <c r="O278" s="89" t="s">
        <v>1011</v>
      </c>
      <c r="P278" s="89" t="s">
        <v>1011</v>
      </c>
      <c r="Q278" s="87">
        <v>12620</v>
      </c>
      <c r="R278" s="22"/>
      <c r="S278" s="18" t="s">
        <v>1967</v>
      </c>
      <c r="T278" s="21" t="str">
        <f>VLOOKUP(C278,'[1]TABEL SMA'!$C$8:$D$343,2,0)</f>
        <v>SMA NEGERI 97 JAKARTA</v>
      </c>
      <c r="U278" s="22" t="str">
        <f>IFERROR(VLOOKUP(Table11[[#This Row],[Nama]],'[1]TABEL BEASISWA'!$B$4:$D$202,2,FALSE),"TIDAK")</f>
        <v>YA</v>
      </c>
      <c r="V278" s="83" t="str">
        <f>IFERROR(VLOOKUP(Table11[[#This Row],[Nama]],'[1]TABEL BEASISWA'!$B$4:$D$202,3,FALSE),"Tidak ada")</f>
        <v>Beasiswa 100%, IFG</v>
      </c>
      <c r="W278" s="24" t="str">
        <f>IFERROR(VLOOKUP(Table11[[#This Row],[Nama]],'[1]TABEL BEASISWA'!$B$4:$E$202,4,FALSE)," ")</f>
        <v>Angkatan 5</v>
      </c>
      <c r="X278" s="91" t="s">
        <v>1528</v>
      </c>
      <c r="Y278" s="96" t="s">
        <v>1529</v>
      </c>
      <c r="Z278" s="96" t="s">
        <v>1582</v>
      </c>
      <c r="AA278" s="97">
        <v>45936</v>
      </c>
      <c r="AB278" s="91" t="s">
        <v>1531</v>
      </c>
      <c r="AC278" s="130">
        <v>1001001</v>
      </c>
      <c r="AD278" s="130">
        <v>317409</v>
      </c>
      <c r="AE278" s="130">
        <v>3174091001</v>
      </c>
      <c r="AF278" s="130" t="s">
        <v>2345</v>
      </c>
    </row>
    <row r="279" spans="1:32">
      <c r="A279" s="76">
        <f t="shared" si="9"/>
        <v>278</v>
      </c>
      <c r="B279" s="99">
        <f t="shared" si="9"/>
        <v>2230125279</v>
      </c>
      <c r="C279" s="100" t="s">
        <v>1968</v>
      </c>
      <c r="D279" s="101" t="s">
        <v>1969</v>
      </c>
      <c r="E279" s="101" t="s">
        <v>1970</v>
      </c>
      <c r="F279" s="99" t="s">
        <v>67</v>
      </c>
      <c r="G279" s="101" t="s">
        <v>1971</v>
      </c>
      <c r="H279" s="101" t="s">
        <v>1972</v>
      </c>
      <c r="I279" s="138">
        <v>39100</v>
      </c>
      <c r="J279" s="99" t="s">
        <v>35</v>
      </c>
      <c r="K279" s="90" t="e">
        <f>PROPER(#REF!)</f>
        <v>#REF!</v>
      </c>
      <c r="L279" s="99">
        <v>6</v>
      </c>
      <c r="M279" s="99">
        <v>3</v>
      </c>
      <c r="N279" s="101" t="s">
        <v>1973</v>
      </c>
      <c r="O279" s="101" t="s">
        <v>1973</v>
      </c>
      <c r="P279" s="101" t="s">
        <v>403</v>
      </c>
      <c r="Q279" s="99">
        <v>12760</v>
      </c>
      <c r="R279" s="22"/>
      <c r="S279" s="18" t="s">
        <v>52</v>
      </c>
      <c r="T279" s="21" t="str">
        <f>VLOOKUP(C279,'[1]TABEL SMA'!$C$8:$D$343,2,0)</f>
        <v>SMAN 55 JAKARTA</v>
      </c>
      <c r="U279" s="22" t="str">
        <f>IFERROR(VLOOKUP(Table11[[#This Row],[Nama]],'[1]TABEL BEASISWA'!$B$4:$D$202,2,FALSE),"TIDAK")</f>
        <v>TIDAK</v>
      </c>
      <c r="V279" s="83" t="str">
        <f>IFERROR(VLOOKUP(Table11[[#This Row],[Nama]],'[1]TABEL BEASISWA'!$B$4:$D$202,3,FALSE),"Tidak ada")</f>
        <v>Tidak ada</v>
      </c>
      <c r="W279" s="24" t="str">
        <f>IFERROR(VLOOKUP(Table11[[#This Row],[Nama]],'[1]TABEL BEASISWA'!$B$4:$E$202,4,FALSE)," ")</f>
        <v xml:space="preserve"> </v>
      </c>
      <c r="X279" s="91" t="s">
        <v>1528</v>
      </c>
      <c r="Y279" s="96" t="s">
        <v>1529</v>
      </c>
      <c r="Z279" s="96" t="s">
        <v>1530</v>
      </c>
      <c r="AA279" s="97">
        <v>45936</v>
      </c>
      <c r="AB279" s="91" t="s">
        <v>1531</v>
      </c>
      <c r="AC279" s="130">
        <v>1001001</v>
      </c>
      <c r="AD279" s="130">
        <v>317408</v>
      </c>
      <c r="AE279" s="130">
        <v>3174081004</v>
      </c>
      <c r="AF279" s="130" t="s">
        <v>2346</v>
      </c>
    </row>
    <row r="280" spans="1:32" ht="28">
      <c r="A280" s="76">
        <f t="shared" si="9"/>
        <v>279</v>
      </c>
      <c r="B280" s="87">
        <f t="shared" si="9"/>
        <v>2230125280</v>
      </c>
      <c r="C280" s="88" t="s">
        <v>1974</v>
      </c>
      <c r="D280" s="89" t="s">
        <v>1975</v>
      </c>
      <c r="E280" s="89" t="s">
        <v>1976</v>
      </c>
      <c r="F280" s="87" t="s">
        <v>32</v>
      </c>
      <c r="G280" s="89" t="s">
        <v>1977</v>
      </c>
      <c r="H280" s="89" t="s">
        <v>1978</v>
      </c>
      <c r="I280" s="137" t="s">
        <v>1979</v>
      </c>
      <c r="J280" s="87" t="s">
        <v>35</v>
      </c>
      <c r="K280" s="90" t="e">
        <f>PROPER(#REF!)</f>
        <v>#REF!</v>
      </c>
      <c r="L280" s="87">
        <v>6</v>
      </c>
      <c r="M280" s="87">
        <v>11</v>
      </c>
      <c r="N280" s="89" t="s">
        <v>1980</v>
      </c>
      <c r="O280" s="89" t="s">
        <v>1980</v>
      </c>
      <c r="P280" s="89" t="s">
        <v>1981</v>
      </c>
      <c r="Q280" s="87">
        <v>14140</v>
      </c>
      <c r="R280" s="22"/>
      <c r="S280" s="18" t="s">
        <v>1982</v>
      </c>
      <c r="T280" s="21" t="str">
        <f>VLOOKUP(C280,'[1]TABEL SMA'!$C$8:$D$343,2,0)</f>
        <v>PAKET C; IPS TEGAL JAWA TENGAH</v>
      </c>
      <c r="U280" s="22" t="str">
        <f>IFERROR(VLOOKUP(Table11[[#This Row],[Nama]],'[1]TABEL BEASISWA'!$B$4:$D$202,2,FALSE),"TIDAK")</f>
        <v>TIDAK</v>
      </c>
      <c r="V280" s="83" t="str">
        <f>IFERROR(VLOOKUP(Table11[[#This Row],[Nama]],'[1]TABEL BEASISWA'!$B$4:$D$202,3,FALSE),"Tidak ada")</f>
        <v>Tidak ada</v>
      </c>
      <c r="W280" s="24" t="str">
        <f>IFERROR(VLOOKUP(Table11[[#This Row],[Nama]],'[1]TABEL BEASISWA'!$B$4:$E$202,4,FALSE)," ")</f>
        <v xml:space="preserve"> </v>
      </c>
      <c r="X280" s="91" t="s">
        <v>1528</v>
      </c>
      <c r="Y280" s="96" t="s">
        <v>1529</v>
      </c>
      <c r="Z280" s="96" t="s">
        <v>1530</v>
      </c>
      <c r="AA280" s="97">
        <v>45936</v>
      </c>
      <c r="AB280" s="91" t="s">
        <v>1531</v>
      </c>
      <c r="AC280" s="130">
        <v>1001001</v>
      </c>
      <c r="AD280" s="130">
        <v>317204</v>
      </c>
      <c r="AE280" s="130">
        <v>3172041006</v>
      </c>
      <c r="AF280" s="130" t="s">
        <v>2348</v>
      </c>
    </row>
    <row r="281" spans="1:32">
      <c r="A281" s="76">
        <f t="shared" si="9"/>
        <v>280</v>
      </c>
      <c r="B281" s="99">
        <f t="shared" si="9"/>
        <v>2230125281</v>
      </c>
      <c r="C281" s="100" t="s">
        <v>1983</v>
      </c>
      <c r="D281" s="101" t="s">
        <v>1984</v>
      </c>
      <c r="E281" s="101" t="s">
        <v>1985</v>
      </c>
      <c r="F281" s="99" t="s">
        <v>32</v>
      </c>
      <c r="G281" s="101" t="s">
        <v>1986</v>
      </c>
      <c r="H281" s="101" t="s">
        <v>34</v>
      </c>
      <c r="I281" s="138">
        <v>38913</v>
      </c>
      <c r="J281" s="99" t="s">
        <v>35</v>
      </c>
      <c r="K281" s="90" t="e">
        <f>PROPER(#REF!)</f>
        <v>#REF!</v>
      </c>
      <c r="L281" s="99">
        <v>4</v>
      </c>
      <c r="M281" s="99" t="s">
        <v>140</v>
      </c>
      <c r="N281" s="101" t="s">
        <v>1987</v>
      </c>
      <c r="O281" s="101" t="s">
        <v>1987</v>
      </c>
      <c r="P281" s="101" t="s">
        <v>1988</v>
      </c>
      <c r="Q281" s="99">
        <v>55763</v>
      </c>
      <c r="R281" s="22"/>
      <c r="S281" s="18" t="s">
        <v>52</v>
      </c>
      <c r="T281" s="21" t="str">
        <f>VLOOKUP(C281,'[1]TABEL SMA'!$C$8:$D$343,2,0)</f>
        <v>SMA N 1 SANDEN</v>
      </c>
      <c r="U281" s="22" t="str">
        <f>IFERROR(VLOOKUP(Table11[[#This Row],[Nama]],'[1]TABEL BEASISWA'!$B$4:$D$202,2,FALSE),"TIDAK")</f>
        <v>TIDAK</v>
      </c>
      <c r="V281" s="83" t="str">
        <f>IFERROR(VLOOKUP(Table11[[#This Row],[Nama]],'[1]TABEL BEASISWA'!$B$4:$D$202,3,FALSE),"Tidak ada")</f>
        <v>Tidak ada</v>
      </c>
      <c r="W281" s="24" t="str">
        <f>IFERROR(VLOOKUP(Table11[[#This Row],[Nama]],'[1]TABEL BEASISWA'!$B$4:$E$202,4,FALSE)," ")</f>
        <v xml:space="preserve"> </v>
      </c>
      <c r="X281" s="91" t="s">
        <v>1528</v>
      </c>
      <c r="Y281" s="96" t="s">
        <v>1529</v>
      </c>
      <c r="Z281" s="96" t="s">
        <v>1530</v>
      </c>
      <c r="AA281" s="97">
        <v>45936</v>
      </c>
      <c r="AB281" s="91" t="s">
        <v>1531</v>
      </c>
      <c r="AC281" s="130">
        <v>1001001</v>
      </c>
      <c r="AD281" s="130">
        <v>340202</v>
      </c>
      <c r="AE281" s="130">
        <v>3402022002</v>
      </c>
      <c r="AF281" s="130" t="s">
        <v>2346</v>
      </c>
    </row>
    <row r="282" spans="1:32" ht="28">
      <c r="A282" s="76">
        <f t="shared" si="9"/>
        <v>281</v>
      </c>
      <c r="B282" s="87">
        <f t="shared" si="9"/>
        <v>2230125282</v>
      </c>
      <c r="C282" s="88" t="s">
        <v>1989</v>
      </c>
      <c r="D282" s="88" t="s">
        <v>1990</v>
      </c>
      <c r="E282" s="89" t="s">
        <v>1991</v>
      </c>
      <c r="F282" s="87" t="s">
        <v>67</v>
      </c>
      <c r="G282" s="89" t="s">
        <v>1992</v>
      </c>
      <c r="H282" s="89" t="s">
        <v>241</v>
      </c>
      <c r="I282" s="137">
        <v>39235</v>
      </c>
      <c r="J282" s="87" t="s">
        <v>35</v>
      </c>
      <c r="K282" s="90" t="e">
        <f>PROPER(#REF!)</f>
        <v>#REF!</v>
      </c>
      <c r="L282" s="87" t="s">
        <v>50</v>
      </c>
      <c r="M282" s="87" t="s">
        <v>338</v>
      </c>
      <c r="N282" s="89" t="s">
        <v>1993</v>
      </c>
      <c r="O282" s="89" t="s">
        <v>1993</v>
      </c>
      <c r="P282" s="89" t="s">
        <v>1994</v>
      </c>
      <c r="Q282" s="87">
        <v>16710</v>
      </c>
      <c r="R282" s="22"/>
      <c r="S282" s="18" t="s">
        <v>52</v>
      </c>
      <c r="T282" s="21" t="str">
        <f>VLOOKUP(C282,'[1]TABEL SMA'!$C$8:$D$343,2,0)</f>
        <v>SMA NEGERI 3 CIBINONG</v>
      </c>
      <c r="U282" s="22" t="str">
        <f>IFERROR(VLOOKUP(Table11[[#This Row],[Nama]],'[1]TABEL BEASISWA'!$B$4:$D$202,2,FALSE),"TIDAK")</f>
        <v>YA</v>
      </c>
      <c r="V282" s="83" t="str">
        <f>IFERROR(VLOOKUP(Table11[[#This Row],[Nama]],'[1]TABEL BEASISWA'!$B$4:$D$202,3,FALSE),"Tidak ada")</f>
        <v>Beasiswa 100%, Yayasan Karya Bhakti Adhyaksa</v>
      </c>
      <c r="W282" s="24" t="str">
        <f>IFERROR(VLOOKUP(Table11[[#This Row],[Nama]],'[1]TABEL BEASISWA'!$B$4:$E$202,4,FALSE)," ")</f>
        <v>Angkatan 5</v>
      </c>
      <c r="X282" s="91" t="s">
        <v>1528</v>
      </c>
      <c r="Y282" s="96" t="s">
        <v>1529</v>
      </c>
      <c r="Z282" s="96" t="s">
        <v>1582</v>
      </c>
      <c r="AA282" s="97">
        <v>45936</v>
      </c>
      <c r="AB282" s="91" t="s">
        <v>1531</v>
      </c>
      <c r="AC282" s="130">
        <v>1001001</v>
      </c>
      <c r="AD282" s="130">
        <v>320617</v>
      </c>
      <c r="AE282" s="130"/>
      <c r="AF282" s="130" t="s">
        <v>2346</v>
      </c>
    </row>
    <row r="283" spans="1:32">
      <c r="A283" s="76">
        <f t="shared" si="9"/>
        <v>282</v>
      </c>
      <c r="B283" s="99">
        <f t="shared" si="9"/>
        <v>2230125283</v>
      </c>
      <c r="C283" s="100" t="s">
        <v>1995</v>
      </c>
      <c r="D283" s="101" t="s">
        <v>1996</v>
      </c>
      <c r="E283" s="101" t="s">
        <v>1997</v>
      </c>
      <c r="F283" s="99" t="s">
        <v>67</v>
      </c>
      <c r="G283" s="101" t="s">
        <v>1998</v>
      </c>
      <c r="H283" s="101" t="s">
        <v>310</v>
      </c>
      <c r="I283" s="138">
        <v>37513</v>
      </c>
      <c r="J283" s="99" t="s">
        <v>35</v>
      </c>
      <c r="K283" s="90" t="e">
        <f>PROPER(#REF!)</f>
        <v>#REF!</v>
      </c>
      <c r="L283" s="99">
        <v>4</v>
      </c>
      <c r="M283" s="99">
        <v>11</v>
      </c>
      <c r="N283" s="101" t="s">
        <v>1939</v>
      </c>
      <c r="O283" s="101" t="s">
        <v>1939</v>
      </c>
      <c r="P283" s="101" t="s">
        <v>1940</v>
      </c>
      <c r="Q283" s="99">
        <v>15310</v>
      </c>
      <c r="R283" s="22"/>
      <c r="S283" s="18" t="s">
        <v>365</v>
      </c>
      <c r="T283" s="21" t="str">
        <f>VLOOKUP(C283,'[1]TABEL SMA'!$C$8:$D$343,2,0)</f>
        <v>PAKET C CILINCING</v>
      </c>
      <c r="U283" s="22" t="str">
        <f>IFERROR(VLOOKUP(Table11[[#This Row],[Nama]],'[1]TABEL BEASISWA'!$B$4:$D$202,2,FALSE),"TIDAK")</f>
        <v>TIDAK</v>
      </c>
      <c r="V283" s="83" t="str">
        <f>IFERROR(VLOOKUP(Table11[[#This Row],[Nama]],'[1]TABEL BEASISWA'!$B$4:$D$202,3,FALSE),"Tidak ada")</f>
        <v>Tidak ada</v>
      </c>
      <c r="W283" s="24" t="str">
        <f>IFERROR(VLOOKUP(Table11[[#This Row],[Nama]],'[1]TABEL BEASISWA'!$B$4:$E$202,4,FALSE)," ")</f>
        <v xml:space="preserve"> </v>
      </c>
      <c r="X283" s="91" t="s">
        <v>1528</v>
      </c>
      <c r="Y283" s="96" t="s">
        <v>1529</v>
      </c>
      <c r="Z283" s="96" t="s">
        <v>1530</v>
      </c>
      <c r="AA283" s="97">
        <v>45936</v>
      </c>
      <c r="AB283" s="91" t="s">
        <v>1531</v>
      </c>
      <c r="AC283" s="130">
        <v>1001001</v>
      </c>
      <c r="AD283" s="130">
        <v>367401</v>
      </c>
      <c r="AE283" s="130">
        <v>3674011001</v>
      </c>
      <c r="AF283" s="130" t="s">
        <v>2347</v>
      </c>
    </row>
    <row r="284" spans="1:32">
      <c r="A284" s="76">
        <f t="shared" si="9"/>
        <v>283</v>
      </c>
      <c r="B284" s="87">
        <f t="shared" si="9"/>
        <v>2230125284</v>
      </c>
      <c r="C284" s="88" t="s">
        <v>1999</v>
      </c>
      <c r="D284" s="89" t="s">
        <v>2000</v>
      </c>
      <c r="E284" s="89">
        <v>73860655</v>
      </c>
      <c r="F284" s="87" t="s">
        <v>32</v>
      </c>
      <c r="G284" s="89" t="s">
        <v>2001</v>
      </c>
      <c r="H284" s="89" t="s">
        <v>58</v>
      </c>
      <c r="I284" s="137">
        <v>39226</v>
      </c>
      <c r="J284" s="87" t="s">
        <v>35</v>
      </c>
      <c r="K284" s="90" t="e">
        <f>PROPER(#REF!)</f>
        <v>#REF!</v>
      </c>
      <c r="L284" s="87">
        <v>2</v>
      </c>
      <c r="M284" s="87">
        <v>7</v>
      </c>
      <c r="N284" s="89" t="s">
        <v>2002</v>
      </c>
      <c r="O284" s="89" t="s">
        <v>2002</v>
      </c>
      <c r="P284" s="89" t="s">
        <v>2003</v>
      </c>
      <c r="Q284" s="87">
        <v>16452</v>
      </c>
      <c r="R284" s="22"/>
      <c r="S284" s="18" t="s">
        <v>52</v>
      </c>
      <c r="T284" s="21" t="str">
        <f>VLOOKUP(C284,'[1]TABEL SMA'!$C$8:$D$343,2,0)</f>
        <v>MAN 14 JAKARTA</v>
      </c>
      <c r="U284" s="22" t="str">
        <f>IFERROR(VLOOKUP(Table11[[#This Row],[Nama]],'[1]TABEL BEASISWA'!$B$4:$D$202,2,FALSE),"TIDAK")</f>
        <v>TIDAK</v>
      </c>
      <c r="V284" s="83" t="str">
        <f>IFERROR(VLOOKUP(Table11[[#This Row],[Nama]],'[1]TABEL BEASISWA'!$B$4:$D$202,3,FALSE),"Tidak ada")</f>
        <v>Tidak ada</v>
      </c>
      <c r="W284" s="24" t="str">
        <f>IFERROR(VLOOKUP(Table11[[#This Row],[Nama]],'[1]TABEL BEASISWA'!$B$4:$E$202,4,FALSE)," ")</f>
        <v xml:space="preserve"> </v>
      </c>
      <c r="X284" s="91" t="s">
        <v>1528</v>
      </c>
      <c r="Y284" s="96" t="s">
        <v>1529</v>
      </c>
      <c r="Z284" s="96" t="s">
        <v>1530</v>
      </c>
      <c r="AA284" s="97">
        <v>45936</v>
      </c>
      <c r="AB284" s="91" t="s">
        <v>1531</v>
      </c>
      <c r="AC284" s="130">
        <v>1001001</v>
      </c>
      <c r="AD284" s="130">
        <v>327602</v>
      </c>
      <c r="AE284" s="130">
        <v>3276021010</v>
      </c>
      <c r="AF284" s="130" t="s">
        <v>2346</v>
      </c>
    </row>
    <row r="285" spans="1:32">
      <c r="A285" s="76">
        <f t="shared" si="9"/>
        <v>284</v>
      </c>
      <c r="B285" s="99">
        <f t="shared" si="9"/>
        <v>2230125285</v>
      </c>
      <c r="C285" s="100" t="s">
        <v>2004</v>
      </c>
      <c r="D285" s="101" t="s">
        <v>2005</v>
      </c>
      <c r="E285" s="101" t="s">
        <v>2006</v>
      </c>
      <c r="F285" s="99" t="s">
        <v>32</v>
      </c>
      <c r="G285" s="101" t="s">
        <v>2007</v>
      </c>
      <c r="H285" s="101" t="s">
        <v>34</v>
      </c>
      <c r="I285" s="138">
        <v>33270</v>
      </c>
      <c r="J285" s="99" t="s">
        <v>35</v>
      </c>
      <c r="K285" s="90" t="e">
        <f>PROPER(#REF!)</f>
        <v>#REF!</v>
      </c>
      <c r="L285" s="99">
        <v>1</v>
      </c>
      <c r="M285" s="99">
        <v>3</v>
      </c>
      <c r="N285" s="101" t="s">
        <v>1670</v>
      </c>
      <c r="O285" s="101" t="s">
        <v>1670</v>
      </c>
      <c r="P285" s="101" t="s">
        <v>439</v>
      </c>
      <c r="Q285" s="99">
        <v>12560</v>
      </c>
      <c r="R285" s="22"/>
      <c r="S285" s="18" t="s">
        <v>1982</v>
      </c>
      <c r="T285" s="21" t="str">
        <f>VLOOKUP(C285,'[1]TABEL SMA'!$C$8:$D$343,2,0)</f>
        <v xml:space="preserve">SMA GLOBAL JAYA </v>
      </c>
      <c r="U285" s="22" t="str">
        <f>IFERROR(VLOOKUP(Table11[[#This Row],[Nama]],'[1]TABEL BEASISWA'!$B$4:$D$202,2,FALSE),"TIDAK")</f>
        <v>TIDAK</v>
      </c>
      <c r="V285" s="83" t="str">
        <f>IFERROR(VLOOKUP(Table11[[#This Row],[Nama]],'[1]TABEL BEASISWA'!$B$4:$D$202,3,FALSE),"Tidak ada")</f>
        <v>Tidak ada</v>
      </c>
      <c r="W285" s="24" t="str">
        <f>IFERROR(VLOOKUP(Table11[[#This Row],[Nama]],'[1]TABEL BEASISWA'!$B$4:$E$202,4,FALSE)," ")</f>
        <v xml:space="preserve"> </v>
      </c>
      <c r="X285" s="91" t="s">
        <v>1528</v>
      </c>
      <c r="Y285" s="96" t="s">
        <v>1529</v>
      </c>
      <c r="Z285" s="96" t="s">
        <v>1530</v>
      </c>
      <c r="AA285" s="97">
        <v>45936</v>
      </c>
      <c r="AB285" s="91" t="s">
        <v>1531</v>
      </c>
      <c r="AC285" s="130">
        <v>1001001</v>
      </c>
      <c r="AD285" s="130">
        <v>317404</v>
      </c>
      <c r="AE285" s="130">
        <v>3174041003</v>
      </c>
      <c r="AF285" s="130" t="s">
        <v>2348</v>
      </c>
    </row>
    <row r="286" spans="1:32" ht="42">
      <c r="A286" s="76">
        <f t="shared" si="9"/>
        <v>285</v>
      </c>
      <c r="B286" s="87">
        <f t="shared" si="9"/>
        <v>2230125286</v>
      </c>
      <c r="C286" s="88" t="s">
        <v>2008</v>
      </c>
      <c r="D286" s="89" t="s">
        <v>2009</v>
      </c>
      <c r="E286" s="89" t="s">
        <v>2010</v>
      </c>
      <c r="F286" s="87" t="s">
        <v>32</v>
      </c>
      <c r="G286" s="89" t="s">
        <v>2011</v>
      </c>
      <c r="H286" s="89" t="s">
        <v>34</v>
      </c>
      <c r="I286" s="137">
        <v>37645</v>
      </c>
      <c r="J286" s="87" t="s">
        <v>35</v>
      </c>
      <c r="K286" s="90" t="e">
        <f>PROPER(#REF!)</f>
        <v>#REF!</v>
      </c>
      <c r="L286" s="87">
        <v>8</v>
      </c>
      <c r="M286" s="87">
        <v>9</v>
      </c>
      <c r="N286" s="89" t="s">
        <v>520</v>
      </c>
      <c r="O286" s="89" t="s">
        <v>520</v>
      </c>
      <c r="P286" s="89" t="s">
        <v>126</v>
      </c>
      <c r="Q286" s="87">
        <v>12450</v>
      </c>
      <c r="R286" s="22"/>
      <c r="S286" s="18" t="s">
        <v>365</v>
      </c>
      <c r="T286" s="21" t="str">
        <f>VLOOKUP(C286,'[1]TABEL SMA'!$C$8:$D$343,2,0)</f>
        <v>PAKET C; PKBM NEGERI 09 CILANDAK</v>
      </c>
      <c r="U286" s="22" t="str">
        <f>IFERROR(VLOOKUP(Table11[[#This Row],[Nama]],'[1]TABEL BEASISWA'!$B$4:$D$202,2,FALSE),"TIDAK")</f>
        <v>TIDAK</v>
      </c>
      <c r="V286" s="83" t="str">
        <f>IFERROR(VLOOKUP(Table11[[#This Row],[Nama]],'[1]TABEL BEASISWA'!$B$4:$D$202,3,FALSE),"Tidak ada")</f>
        <v>Tidak ada</v>
      </c>
      <c r="W286" s="24" t="str">
        <f>IFERROR(VLOOKUP(Table11[[#This Row],[Nama]],'[1]TABEL BEASISWA'!$B$4:$E$202,4,FALSE)," ")</f>
        <v xml:space="preserve"> </v>
      </c>
      <c r="X286" s="91" t="s">
        <v>1528</v>
      </c>
      <c r="Y286" s="96" t="s">
        <v>1540</v>
      </c>
      <c r="Z286" s="96" t="s">
        <v>1530</v>
      </c>
      <c r="AA286" s="97">
        <v>45936</v>
      </c>
      <c r="AB286" s="91" t="s">
        <v>1919</v>
      </c>
      <c r="AC286" s="130">
        <v>1001001</v>
      </c>
      <c r="AD286" s="130">
        <v>317406</v>
      </c>
      <c r="AE286" s="130">
        <v>3174061003</v>
      </c>
      <c r="AF286" s="130" t="s">
        <v>2347</v>
      </c>
    </row>
    <row r="287" spans="1:32" ht="42">
      <c r="A287" s="76">
        <f t="shared" si="9"/>
        <v>286</v>
      </c>
      <c r="B287" s="99">
        <f t="shared" si="9"/>
        <v>2230125287</v>
      </c>
      <c r="C287" s="100" t="s">
        <v>2012</v>
      </c>
      <c r="D287" s="101" t="s">
        <v>2013</v>
      </c>
      <c r="E287" s="101" t="s">
        <v>2014</v>
      </c>
      <c r="F287" s="99" t="s">
        <v>32</v>
      </c>
      <c r="G287" s="101" t="s">
        <v>2015</v>
      </c>
      <c r="H287" s="101" t="s">
        <v>2016</v>
      </c>
      <c r="I287" s="138">
        <v>30267</v>
      </c>
      <c r="J287" s="99" t="s">
        <v>1368</v>
      </c>
      <c r="K287" s="90" t="e">
        <f>PROPER(#REF!)</f>
        <v>#REF!</v>
      </c>
      <c r="L287" s="99">
        <v>5</v>
      </c>
      <c r="M287" s="99">
        <v>6</v>
      </c>
      <c r="N287" s="101" t="s">
        <v>2017</v>
      </c>
      <c r="O287" s="101" t="s">
        <v>2017</v>
      </c>
      <c r="P287" s="101" t="s">
        <v>40</v>
      </c>
      <c r="Q287" s="99">
        <v>13870</v>
      </c>
      <c r="R287" s="22"/>
      <c r="S287" s="18" t="s">
        <v>1291</v>
      </c>
      <c r="T287" s="21" t="str">
        <f>VLOOKUP(C287,'[1]TABEL SMA'!$C$8:$D$343,2,0)</f>
        <v xml:space="preserve">SMU BEGERI 2 TANJUNG BALAI SUMATERA UTARA </v>
      </c>
      <c r="U287" s="22" t="str">
        <f>IFERROR(VLOOKUP(Table11[[#This Row],[Nama]],'[1]TABEL BEASISWA'!$B$4:$D$202,2,FALSE),"TIDAK")</f>
        <v>TIDAK</v>
      </c>
      <c r="V287" s="83" t="str">
        <f>IFERROR(VLOOKUP(Table11[[#This Row],[Nama]],'[1]TABEL BEASISWA'!$B$4:$D$202,3,FALSE),"Tidak ada")</f>
        <v>Tidak ada</v>
      </c>
      <c r="W287" s="24" t="str">
        <f>IFERROR(VLOOKUP(Table11[[#This Row],[Nama]],'[1]TABEL BEASISWA'!$B$4:$E$202,4,FALSE)," ")</f>
        <v xml:space="preserve"> </v>
      </c>
      <c r="X287" s="91" t="s">
        <v>1528</v>
      </c>
      <c r="Y287" s="96" t="s">
        <v>1529</v>
      </c>
      <c r="Z287" s="96" t="s">
        <v>1530</v>
      </c>
      <c r="AA287" s="97">
        <v>45936</v>
      </c>
      <c r="AB287" s="91" t="s">
        <v>1531</v>
      </c>
      <c r="AC287" s="130">
        <v>1001002</v>
      </c>
      <c r="AD287" s="130">
        <v>327607</v>
      </c>
      <c r="AE287" s="130"/>
      <c r="AF287" s="130" t="s">
        <v>2348</v>
      </c>
    </row>
    <row r="288" spans="1:32" ht="28">
      <c r="A288" s="76">
        <f t="shared" si="9"/>
        <v>287</v>
      </c>
      <c r="B288" s="87">
        <f t="shared" si="9"/>
        <v>2230125288</v>
      </c>
      <c r="C288" s="88" t="s">
        <v>2018</v>
      </c>
      <c r="D288" s="89" t="s">
        <v>2019</v>
      </c>
      <c r="E288" s="89" t="s">
        <v>2020</v>
      </c>
      <c r="F288" s="87" t="s">
        <v>32</v>
      </c>
      <c r="G288" s="89" t="s">
        <v>2021</v>
      </c>
      <c r="H288" s="88" t="s">
        <v>1972</v>
      </c>
      <c r="I288" s="137">
        <v>39069</v>
      </c>
      <c r="J288" s="87" t="s">
        <v>1368</v>
      </c>
      <c r="K288" s="90" t="e">
        <f>PROPER(#REF!)</f>
        <v>#REF!</v>
      </c>
      <c r="L288" s="87">
        <v>2</v>
      </c>
      <c r="M288" s="87">
        <v>7</v>
      </c>
      <c r="N288" s="89" t="s">
        <v>2022</v>
      </c>
      <c r="O288" s="89" t="s">
        <v>2023</v>
      </c>
      <c r="P288" s="89" t="s">
        <v>2024</v>
      </c>
      <c r="Q288" s="87">
        <v>17148</v>
      </c>
      <c r="R288" s="22"/>
      <c r="S288" s="18" t="s">
        <v>1714</v>
      </c>
      <c r="T288" s="21" t="str">
        <f>VLOOKUP(C288,'[1]TABEL SMA'!$C$8:$D$343,2,0)</f>
        <v>SMA NEGERI 8 BEKASI</v>
      </c>
      <c r="U288" s="22" t="str">
        <f>IFERROR(VLOOKUP(Table11[[#This Row],[Nama]],'[1]TABEL BEASISWA'!$B$4:$D$202,2,FALSE),"TIDAK")</f>
        <v>TIDAK</v>
      </c>
      <c r="V288" s="83" t="str">
        <f>IFERROR(VLOOKUP(Table11[[#This Row],[Nama]],'[1]TABEL BEASISWA'!$B$4:$D$202,3,FALSE),"Tidak ada")</f>
        <v>Tidak ada</v>
      </c>
      <c r="W288" s="24" t="str">
        <f>IFERROR(VLOOKUP(Table11[[#This Row],[Nama]],'[1]TABEL BEASISWA'!$B$4:$E$202,4,FALSE)," ")</f>
        <v xml:space="preserve"> </v>
      </c>
      <c r="X288" s="91" t="s">
        <v>1528</v>
      </c>
      <c r="Y288" s="96" t="s">
        <v>1529</v>
      </c>
      <c r="Z288" s="96" t="s">
        <v>1530</v>
      </c>
      <c r="AA288" s="97">
        <v>45936</v>
      </c>
      <c r="AB288" s="91" t="s">
        <v>1531</v>
      </c>
      <c r="AC288" s="130">
        <v>1001002</v>
      </c>
      <c r="AD288" s="130">
        <v>327504</v>
      </c>
      <c r="AE288" s="130">
        <v>3275041001</v>
      </c>
      <c r="AF288" s="130" t="s">
        <v>2346</v>
      </c>
    </row>
    <row r="289" spans="1:32" ht="42">
      <c r="A289" s="76">
        <f t="shared" si="9"/>
        <v>288</v>
      </c>
      <c r="B289" s="99">
        <f t="shared" si="9"/>
        <v>2230125289</v>
      </c>
      <c r="C289" s="100" t="s">
        <v>2025</v>
      </c>
      <c r="D289" s="100" t="s">
        <v>2026</v>
      </c>
      <c r="E289" s="101">
        <v>9944322329</v>
      </c>
      <c r="F289" s="99" t="s">
        <v>32</v>
      </c>
      <c r="G289" s="101" t="s">
        <v>2027</v>
      </c>
      <c r="H289" s="101" t="s">
        <v>2028</v>
      </c>
      <c r="I289" s="138">
        <v>34650</v>
      </c>
      <c r="J289" s="99" t="s">
        <v>35</v>
      </c>
      <c r="K289" s="90" t="e">
        <f>PROPER(#REF!)</f>
        <v>#REF!</v>
      </c>
      <c r="L289" s="99">
        <v>1</v>
      </c>
      <c r="M289" s="99">
        <v>1</v>
      </c>
      <c r="N289" s="101" t="s">
        <v>2029</v>
      </c>
      <c r="O289" s="101" t="s">
        <v>2029</v>
      </c>
      <c r="P289" s="101" t="s">
        <v>2030</v>
      </c>
      <c r="Q289" s="99">
        <v>86584</v>
      </c>
      <c r="R289" s="22"/>
      <c r="S289" s="18" t="s">
        <v>458</v>
      </c>
      <c r="T289" s="21" t="str">
        <f>VLOOKUP(C289,'[1]TABEL SMA'!$C$8:$D$343,2,0)</f>
        <v>MADRASAH ALIYAH SWASTA AMALIAH POTA</v>
      </c>
      <c r="U289" s="22" t="str">
        <f>IFERROR(VLOOKUP(Table11[[#This Row],[Nama]],'[1]TABEL BEASISWA'!$B$4:$D$202,2,FALSE),"TIDAK")</f>
        <v>TIDAK</v>
      </c>
      <c r="V289" s="83" t="str">
        <f>IFERROR(VLOOKUP(Table11[[#This Row],[Nama]],'[1]TABEL BEASISWA'!$B$4:$D$202,3,FALSE),"Tidak ada")</f>
        <v>Tidak ada</v>
      </c>
      <c r="W289" s="24" t="str">
        <f>IFERROR(VLOOKUP(Table11[[#This Row],[Nama]],'[1]TABEL BEASISWA'!$B$4:$E$202,4,FALSE)," ")</f>
        <v xml:space="preserve"> </v>
      </c>
      <c r="X289" s="91" t="s">
        <v>1528</v>
      </c>
      <c r="Y289" s="96" t="s">
        <v>1529</v>
      </c>
      <c r="Z289" s="96" t="s">
        <v>1530</v>
      </c>
      <c r="AA289" s="97">
        <v>45936</v>
      </c>
      <c r="AB289" s="91" t="s">
        <v>1531</v>
      </c>
      <c r="AC289" s="130">
        <v>1001001</v>
      </c>
      <c r="AD289" s="130">
        <v>531904</v>
      </c>
      <c r="AE289" s="130">
        <v>5319042012</v>
      </c>
      <c r="AF289" s="130" t="s">
        <v>2348</v>
      </c>
    </row>
    <row r="290" spans="1:32" ht="28">
      <c r="A290" s="76">
        <f t="shared" si="9"/>
        <v>289</v>
      </c>
      <c r="B290" s="87">
        <f t="shared" si="9"/>
        <v>2230125290</v>
      </c>
      <c r="C290" s="88" t="s">
        <v>2031</v>
      </c>
      <c r="D290" s="89" t="s">
        <v>2032</v>
      </c>
      <c r="E290" s="89" t="s">
        <v>2033</v>
      </c>
      <c r="F290" s="87" t="s">
        <v>32</v>
      </c>
      <c r="G290" s="89" t="s">
        <v>2034</v>
      </c>
      <c r="H290" s="89" t="s">
        <v>454</v>
      </c>
      <c r="I290" s="137" t="s">
        <v>1681</v>
      </c>
      <c r="J290" s="87" t="s">
        <v>35</v>
      </c>
      <c r="K290" s="90" t="e">
        <f>PROPER(#REF!)</f>
        <v>#REF!</v>
      </c>
      <c r="L290" s="87" t="s">
        <v>338</v>
      </c>
      <c r="M290" s="87" t="s">
        <v>60</v>
      </c>
      <c r="N290" s="89" t="s">
        <v>2035</v>
      </c>
      <c r="O290" s="89" t="s">
        <v>2035</v>
      </c>
      <c r="P290" s="89" t="s">
        <v>1030</v>
      </c>
      <c r="Q290" s="87">
        <v>17155</v>
      </c>
      <c r="R290" s="22"/>
      <c r="S290" s="18" t="s">
        <v>52</v>
      </c>
      <c r="T290" s="21" t="str">
        <f>VLOOKUP(C290,'[1]TABEL SMA'!$C$8:$D$343,2,0)</f>
        <v>SMAS BUDI MULIA UTAMA JAKARTA</v>
      </c>
      <c r="U290" s="22" t="str">
        <f>IFERROR(VLOOKUP(Table11[[#This Row],[Nama]],'[1]TABEL BEASISWA'!$B$4:$D$202,2,FALSE),"TIDAK")</f>
        <v>YA</v>
      </c>
      <c r="V290" s="83" t="str">
        <f>IFERROR(VLOOKUP(Table11[[#This Row],[Nama]],'[1]TABEL BEASISWA'!$B$4:$D$202,3,FALSE),"Tidak ada")</f>
        <v>Beasiswa 20%, Berprestasi/Kurang Mampu</v>
      </c>
      <c r="W290" s="24" t="str">
        <f>IFERROR(VLOOKUP(Table11[[#This Row],[Nama]],'[1]TABEL BEASISWA'!$B$4:$E$202,4,FALSE)," ")</f>
        <v>Angkatan 5</v>
      </c>
      <c r="X290" s="91" t="s">
        <v>1528</v>
      </c>
      <c r="Y290" s="96" t="s">
        <v>1529</v>
      </c>
      <c r="Z290" s="96" t="s">
        <v>1847</v>
      </c>
      <c r="AA290" s="97">
        <v>45936</v>
      </c>
      <c r="AB290" s="91" t="s">
        <v>1531</v>
      </c>
      <c r="AC290" s="130">
        <v>1001001</v>
      </c>
      <c r="AD290" s="130">
        <v>327502</v>
      </c>
      <c r="AE290" s="130">
        <v>3275021005</v>
      </c>
      <c r="AF290" s="130" t="s">
        <v>2346</v>
      </c>
    </row>
    <row r="291" spans="1:32" ht="28">
      <c r="A291" s="76">
        <f t="shared" si="9"/>
        <v>290</v>
      </c>
      <c r="B291" s="99">
        <f t="shared" si="9"/>
        <v>2230125291</v>
      </c>
      <c r="C291" s="100" t="s">
        <v>2036</v>
      </c>
      <c r="D291" s="101" t="s">
        <v>2037</v>
      </c>
      <c r="E291" s="101" t="s">
        <v>2038</v>
      </c>
      <c r="F291" s="99" t="s">
        <v>32</v>
      </c>
      <c r="G291" s="101" t="s">
        <v>2039</v>
      </c>
      <c r="H291" s="101" t="s">
        <v>1645</v>
      </c>
      <c r="I291" s="138">
        <v>37648</v>
      </c>
      <c r="J291" s="99" t="s">
        <v>1368</v>
      </c>
      <c r="K291" s="90" t="e">
        <f>PROPER(#REF!)</f>
        <v>#REF!</v>
      </c>
      <c r="L291" s="99">
        <v>16</v>
      </c>
      <c r="M291" s="99">
        <v>5</v>
      </c>
      <c r="N291" s="101" t="s">
        <v>904</v>
      </c>
      <c r="O291" s="101" t="s">
        <v>904</v>
      </c>
      <c r="P291" s="101" t="s">
        <v>574</v>
      </c>
      <c r="Q291" s="99">
        <v>13720</v>
      </c>
      <c r="R291" s="22"/>
      <c r="S291" s="18" t="s">
        <v>52</v>
      </c>
      <c r="T291" s="21" t="str">
        <f>VLOOKUP(C291,'[1]TABEL SMA'!$C$8:$D$343,2,0)</f>
        <v>SMA NEGERI 39 JAKARTA</v>
      </c>
      <c r="U291" s="22" t="str">
        <f>IFERROR(VLOOKUP(Table11[[#This Row],[Nama]],'[1]TABEL BEASISWA'!$B$4:$D$202,2,FALSE),"TIDAK")</f>
        <v>TIDAK</v>
      </c>
      <c r="V291" s="83" t="str">
        <f>IFERROR(VLOOKUP(Table11[[#This Row],[Nama]],'[1]TABEL BEASISWA'!$B$4:$D$202,3,FALSE),"Tidak ada")</f>
        <v>Tidak ada</v>
      </c>
      <c r="W291" s="24" t="str">
        <f>IFERROR(VLOOKUP(Table11[[#This Row],[Nama]],'[1]TABEL BEASISWA'!$B$4:$E$202,4,FALSE)," ")</f>
        <v xml:space="preserve"> </v>
      </c>
      <c r="X291" s="91" t="s">
        <v>1528</v>
      </c>
      <c r="Y291" s="96" t="s">
        <v>1529</v>
      </c>
      <c r="Z291" s="96" t="s">
        <v>1530</v>
      </c>
      <c r="AA291" s="97">
        <v>45936</v>
      </c>
      <c r="AB291" s="91" t="s">
        <v>1531</v>
      </c>
      <c r="AC291" s="130">
        <v>1001002</v>
      </c>
      <c r="AD291" s="130">
        <v>317509</v>
      </c>
      <c r="AE291" s="130">
        <v>3175091002</v>
      </c>
      <c r="AF291" s="130" t="s">
        <v>2346</v>
      </c>
    </row>
    <row r="292" spans="1:32" ht="28">
      <c r="A292" s="76">
        <f t="shared" si="9"/>
        <v>291</v>
      </c>
      <c r="B292" s="87">
        <f t="shared" si="9"/>
        <v>2230125292</v>
      </c>
      <c r="C292" s="88" t="s">
        <v>2040</v>
      </c>
      <c r="D292" s="89" t="s">
        <v>2041</v>
      </c>
      <c r="E292" s="89" t="s">
        <v>2042</v>
      </c>
      <c r="F292" s="87" t="s">
        <v>67</v>
      </c>
      <c r="G292" s="89" t="s">
        <v>2043</v>
      </c>
      <c r="H292" s="89" t="s">
        <v>1645</v>
      </c>
      <c r="I292" s="137">
        <v>33440</v>
      </c>
      <c r="J292" s="87" t="s">
        <v>35</v>
      </c>
      <c r="K292" s="90" t="e">
        <f>PROPER(#REF!)</f>
        <v>#REF!</v>
      </c>
      <c r="L292" s="87">
        <v>3</v>
      </c>
      <c r="M292" s="87">
        <v>16</v>
      </c>
      <c r="N292" s="89" t="s">
        <v>1629</v>
      </c>
      <c r="O292" s="89" t="s">
        <v>1629</v>
      </c>
      <c r="P292" s="89" t="s">
        <v>1011</v>
      </c>
      <c r="Q292" s="87">
        <v>12640</v>
      </c>
      <c r="R292" s="22"/>
      <c r="S292" s="18" t="s">
        <v>365</v>
      </c>
      <c r="T292" s="21" t="str">
        <f>VLOOKUP(C292,'[1]TABEL SMA'!$C$8:$D$343,2,0)</f>
        <v xml:space="preserve">SMK NEGERI 41 JAKARTA </v>
      </c>
      <c r="U292" s="22" t="str">
        <f>IFERROR(VLOOKUP(Table11[[#This Row],[Nama]],'[1]TABEL BEASISWA'!$B$4:$D$202,2,FALSE),"TIDAK")</f>
        <v>TIDAK</v>
      </c>
      <c r="V292" s="83" t="str">
        <f>IFERROR(VLOOKUP(Table11[[#This Row],[Nama]],'[1]TABEL BEASISWA'!$B$4:$D$202,3,FALSE),"Tidak ada")</f>
        <v>Tidak ada</v>
      </c>
      <c r="W292" s="24" t="str">
        <f>IFERROR(VLOOKUP(Table11[[#This Row],[Nama]],'[1]TABEL BEASISWA'!$B$4:$E$202,4,FALSE)," ")</f>
        <v xml:space="preserve"> </v>
      </c>
      <c r="X292" s="91" t="s">
        <v>1528</v>
      </c>
      <c r="Y292" s="96" t="s">
        <v>1529</v>
      </c>
      <c r="Z292" s="96" t="s">
        <v>1530</v>
      </c>
      <c r="AA292" s="97">
        <v>45936</v>
      </c>
      <c r="AB292" s="91" t="s">
        <v>1531</v>
      </c>
      <c r="AC292" s="130">
        <v>1001001</v>
      </c>
      <c r="AD292" s="130">
        <v>317409</v>
      </c>
      <c r="AE292" s="130">
        <v>3174091002</v>
      </c>
      <c r="AF292" s="130" t="s">
        <v>2347</v>
      </c>
    </row>
    <row r="293" spans="1:32" ht="28.5">
      <c r="A293" s="76">
        <f t="shared" si="9"/>
        <v>292</v>
      </c>
      <c r="B293" s="99">
        <f t="shared" si="9"/>
        <v>2230125293</v>
      </c>
      <c r="C293" s="100" t="s">
        <v>2044</v>
      </c>
      <c r="D293" s="101" t="s">
        <v>2045</v>
      </c>
      <c r="E293" s="101">
        <v>9960239700</v>
      </c>
      <c r="F293" s="99" t="s">
        <v>32</v>
      </c>
      <c r="G293" s="101" t="s">
        <v>2046</v>
      </c>
      <c r="H293" s="101" t="s">
        <v>2047</v>
      </c>
      <c r="I293" s="138">
        <v>35319</v>
      </c>
      <c r="J293" s="99" t="s">
        <v>35</v>
      </c>
      <c r="K293" s="90" t="e">
        <f>PROPER(#REF!)</f>
        <v>#REF!</v>
      </c>
      <c r="L293" s="99">
        <v>3</v>
      </c>
      <c r="M293" s="99">
        <v>2</v>
      </c>
      <c r="N293" s="101" t="s">
        <v>2048</v>
      </c>
      <c r="O293" s="101" t="s">
        <v>2048</v>
      </c>
      <c r="P293" s="101" t="s">
        <v>2049</v>
      </c>
      <c r="Q293" s="99">
        <v>57752</v>
      </c>
      <c r="R293" s="22"/>
      <c r="S293" s="108" t="s">
        <v>2050</v>
      </c>
      <c r="T293" s="21" t="str">
        <f>VLOOKUP(C293,'[1]TABEL SMA'!$C$8:$D$343,2,0)</f>
        <v>MA NEGERI TUBAN</v>
      </c>
      <c r="U293" s="22" t="str">
        <f>IFERROR(VLOOKUP(Table11[[#This Row],[Nama]],'[1]TABEL BEASISWA'!$B$4:$D$202,2,FALSE),"TIDAK")</f>
        <v>YA</v>
      </c>
      <c r="V293" s="83" t="str">
        <f>IFERROR(VLOOKUP(Table11[[#This Row],[Nama]],'[1]TABEL BEASISWA'!$B$4:$D$202,3,FALSE),"Tidak ada")</f>
        <v>Solo</v>
      </c>
      <c r="W293" s="24" t="str">
        <f>IFERROR(VLOOKUP(Table11[[#This Row],[Nama]],'[1]TABEL BEASISWA'!$B$4:$E$202,4,FALSE)," ")</f>
        <v>Angkatan 5</v>
      </c>
      <c r="X293" s="91" t="s">
        <v>1528</v>
      </c>
      <c r="Y293" s="96" t="s">
        <v>1529</v>
      </c>
      <c r="Z293" s="96" t="s">
        <v>1582</v>
      </c>
      <c r="AA293" s="97">
        <v>45936</v>
      </c>
      <c r="AB293" s="91" t="s">
        <v>1531</v>
      </c>
      <c r="AC293" s="130">
        <v>1001001</v>
      </c>
      <c r="AD293" s="130">
        <v>331315</v>
      </c>
      <c r="AE293" s="130">
        <v>3313152013</v>
      </c>
      <c r="AF293" s="130" t="s">
        <v>2347</v>
      </c>
    </row>
    <row r="294" spans="1:32" ht="28.5">
      <c r="A294" s="76">
        <f t="shared" ref="A294:B309" si="10">A293+1</f>
        <v>293</v>
      </c>
      <c r="B294" s="87">
        <f t="shared" si="10"/>
        <v>2230125294</v>
      </c>
      <c r="C294" s="88" t="s">
        <v>2051</v>
      </c>
      <c r="D294" s="89" t="s">
        <v>2052</v>
      </c>
      <c r="E294" s="89" t="s">
        <v>2053</v>
      </c>
      <c r="F294" s="87" t="s">
        <v>32</v>
      </c>
      <c r="G294" s="89" t="s">
        <v>2054</v>
      </c>
      <c r="H294" s="89" t="s">
        <v>2055</v>
      </c>
      <c r="I294" s="137">
        <v>34074</v>
      </c>
      <c r="J294" s="87" t="s">
        <v>35</v>
      </c>
      <c r="K294" s="90" t="e">
        <f>PROPER(#REF!)</f>
        <v>#REF!</v>
      </c>
      <c r="L294" s="87">
        <v>4</v>
      </c>
      <c r="M294" s="87">
        <v>2</v>
      </c>
      <c r="N294" s="89" t="s">
        <v>2056</v>
      </c>
      <c r="O294" s="89" t="s">
        <v>2056</v>
      </c>
      <c r="P294" s="89" t="s">
        <v>2056</v>
      </c>
      <c r="Q294" s="87">
        <v>51354</v>
      </c>
      <c r="R294" s="22"/>
      <c r="S294" s="108" t="s">
        <v>2050</v>
      </c>
      <c r="T294" s="21" t="str">
        <f>VLOOKUP(C294,'[1]TABEL SMA'!$C$8:$D$343,2,0)</f>
        <v>MA MUHAMMADIYAH WELERI</v>
      </c>
      <c r="U294" s="22" t="str">
        <f>IFERROR(VLOOKUP(Table11[[#This Row],[Nama]],'[1]TABEL BEASISWA'!$B$4:$D$202,2,FALSE),"TIDAK")</f>
        <v>YA</v>
      </c>
      <c r="V294" s="83" t="str">
        <f>IFERROR(VLOOKUP(Table11[[#This Row],[Nama]],'[1]TABEL BEASISWA'!$B$4:$D$202,3,FALSE),"Tidak ada")</f>
        <v>Solo</v>
      </c>
      <c r="W294" s="24" t="str">
        <f>IFERROR(VLOOKUP(Table11[[#This Row],[Nama]],'[1]TABEL BEASISWA'!$B$4:$E$202,4,FALSE)," ")</f>
        <v>Angkatan 5</v>
      </c>
      <c r="X294" s="91" t="s">
        <v>1528</v>
      </c>
      <c r="Y294" s="96" t="s">
        <v>1529</v>
      </c>
      <c r="Z294" s="96" t="s">
        <v>1582</v>
      </c>
      <c r="AA294" s="97">
        <v>45936</v>
      </c>
      <c r="AB294" s="91" t="s">
        <v>1531</v>
      </c>
      <c r="AC294" s="130">
        <v>1001001</v>
      </c>
      <c r="AD294" s="130">
        <v>332416</v>
      </c>
      <c r="AE294" s="130">
        <v>3324162008</v>
      </c>
      <c r="AF294" s="130" t="s">
        <v>2347</v>
      </c>
    </row>
    <row r="295" spans="1:32" ht="42">
      <c r="A295" s="76">
        <f t="shared" si="10"/>
        <v>294</v>
      </c>
      <c r="B295" s="99">
        <f t="shared" si="10"/>
        <v>2230125295</v>
      </c>
      <c r="C295" s="100" t="s">
        <v>2057</v>
      </c>
      <c r="D295" s="101" t="s">
        <v>2058</v>
      </c>
      <c r="E295" s="101">
        <v>9954932044</v>
      </c>
      <c r="F295" s="99" t="s">
        <v>32</v>
      </c>
      <c r="G295" s="101" t="s">
        <v>2059</v>
      </c>
      <c r="H295" s="101" t="s">
        <v>2060</v>
      </c>
      <c r="I295" s="138">
        <v>34907</v>
      </c>
      <c r="J295" s="99" t="s">
        <v>35</v>
      </c>
      <c r="K295" s="90" t="e">
        <f>PROPER(#REF!)</f>
        <v>#REF!</v>
      </c>
      <c r="L295" s="99">
        <v>2</v>
      </c>
      <c r="M295" s="99">
        <v>4</v>
      </c>
      <c r="N295" s="101" t="s">
        <v>2061</v>
      </c>
      <c r="O295" s="101" t="s">
        <v>2061</v>
      </c>
      <c r="P295" s="101" t="s">
        <v>2061</v>
      </c>
      <c r="Q295" s="99">
        <v>51354</v>
      </c>
      <c r="R295" s="22"/>
      <c r="S295" s="108" t="s">
        <v>2050</v>
      </c>
      <c r="T295" s="21" t="str">
        <f>VLOOKUP(C295,'[1]TABEL SMA'!$C$8:$D$343,2,0)</f>
        <v>SMK MUHAMMADIYAH 1 WELERI</v>
      </c>
      <c r="U295" s="22" t="str">
        <f>IFERROR(VLOOKUP(Table11[[#This Row],[Nama]],'[1]TABEL BEASISWA'!$B$4:$D$202,2,FALSE),"TIDAK")</f>
        <v>YA</v>
      </c>
      <c r="V295" s="83" t="str">
        <f>IFERROR(VLOOKUP(Table11[[#This Row],[Nama]],'[1]TABEL BEASISWA'!$B$4:$D$202,3,FALSE),"Tidak ada")</f>
        <v>Solo</v>
      </c>
      <c r="W295" s="24" t="str">
        <f>IFERROR(VLOOKUP(Table11[[#This Row],[Nama]],'[1]TABEL BEASISWA'!$B$4:$E$202,4,FALSE)," ")</f>
        <v>Angkatan 5</v>
      </c>
      <c r="X295" s="91" t="s">
        <v>1528</v>
      </c>
      <c r="Y295" s="96" t="s">
        <v>1529</v>
      </c>
      <c r="Z295" s="96" t="s">
        <v>1582</v>
      </c>
      <c r="AA295" s="97">
        <v>45936</v>
      </c>
      <c r="AB295" s="91" t="s">
        <v>1531</v>
      </c>
      <c r="AC295" s="130">
        <v>1001001</v>
      </c>
      <c r="AD295" s="130"/>
      <c r="AE295" s="130"/>
      <c r="AF295" s="130" t="s">
        <v>2347</v>
      </c>
    </row>
    <row r="296" spans="1:32" ht="28.5">
      <c r="A296" s="76">
        <f t="shared" si="10"/>
        <v>295</v>
      </c>
      <c r="B296" s="87">
        <f t="shared" si="10"/>
        <v>2230125296</v>
      </c>
      <c r="C296" s="88" t="s">
        <v>2062</v>
      </c>
      <c r="D296" s="89" t="s">
        <v>2063</v>
      </c>
      <c r="E296" s="89" t="s">
        <v>2064</v>
      </c>
      <c r="F296" s="87" t="s">
        <v>32</v>
      </c>
      <c r="G296" s="89" t="s">
        <v>2065</v>
      </c>
      <c r="H296" s="88" t="s">
        <v>2066</v>
      </c>
      <c r="I296" s="137">
        <v>34805</v>
      </c>
      <c r="J296" s="87" t="s">
        <v>35</v>
      </c>
      <c r="K296" s="90" t="e">
        <f>PROPER(#REF!)</f>
        <v>#REF!</v>
      </c>
      <c r="L296" s="87">
        <v>4</v>
      </c>
      <c r="M296" s="87">
        <v>3</v>
      </c>
      <c r="N296" s="89" t="s">
        <v>2067</v>
      </c>
      <c r="O296" s="89" t="s">
        <v>2068</v>
      </c>
      <c r="P296" s="89" t="s">
        <v>2068</v>
      </c>
      <c r="Q296" s="87">
        <v>57111</v>
      </c>
      <c r="R296" s="22"/>
      <c r="S296" s="108" t="s">
        <v>2050</v>
      </c>
      <c r="T296" s="21" t="str">
        <f>VLOOKUP(C296,'[1]TABEL SMA'!$C$8:$D$343,2,0)</f>
        <v>MA AL MUKMIN NGRUKI</v>
      </c>
      <c r="U296" s="22" t="str">
        <f>IFERROR(VLOOKUP(Table11[[#This Row],[Nama]],'[1]TABEL BEASISWA'!$B$4:$D$202,2,FALSE),"TIDAK")</f>
        <v>YA</v>
      </c>
      <c r="V296" s="83" t="str">
        <f>IFERROR(VLOOKUP(Table11[[#This Row],[Nama]],'[1]TABEL BEASISWA'!$B$4:$D$202,3,FALSE),"Tidak ada")</f>
        <v>Solo</v>
      </c>
      <c r="W296" s="24" t="str">
        <f>IFERROR(VLOOKUP(Table11[[#This Row],[Nama]],'[1]TABEL BEASISWA'!$B$4:$E$202,4,FALSE)," ")</f>
        <v>Angkatan 5</v>
      </c>
      <c r="X296" s="91" t="s">
        <v>1528</v>
      </c>
      <c r="Y296" s="96" t="s">
        <v>1529</v>
      </c>
      <c r="Z296" s="96" t="s">
        <v>1582</v>
      </c>
      <c r="AA296" s="97">
        <v>45936</v>
      </c>
      <c r="AB296" s="91" t="s">
        <v>1531</v>
      </c>
      <c r="AC296" s="130">
        <v>1001001</v>
      </c>
      <c r="AD296" s="130"/>
      <c r="AE296" s="130"/>
      <c r="AF296" s="130" t="s">
        <v>2347</v>
      </c>
    </row>
    <row r="297" spans="1:32" ht="42">
      <c r="A297" s="76">
        <f t="shared" si="10"/>
        <v>296</v>
      </c>
      <c r="B297" s="99">
        <f t="shared" si="10"/>
        <v>2230125297</v>
      </c>
      <c r="C297" s="100" t="s">
        <v>2069</v>
      </c>
      <c r="D297" s="101" t="s">
        <v>2070</v>
      </c>
      <c r="E297" s="101" t="s">
        <v>2071</v>
      </c>
      <c r="F297" s="99" t="s">
        <v>32</v>
      </c>
      <c r="G297" s="101" t="s">
        <v>2072</v>
      </c>
      <c r="H297" s="101" t="s">
        <v>2073</v>
      </c>
      <c r="I297" s="138">
        <v>34163</v>
      </c>
      <c r="J297" s="99" t="s">
        <v>35</v>
      </c>
      <c r="K297" s="90" t="e">
        <f>PROPER(#REF!)</f>
        <v>#REF!</v>
      </c>
      <c r="L297" s="99">
        <v>5</v>
      </c>
      <c r="M297" s="99">
        <v>2</v>
      </c>
      <c r="N297" s="101" t="s">
        <v>2074</v>
      </c>
      <c r="O297" s="101" t="s">
        <v>2074</v>
      </c>
      <c r="P297" s="101" t="s">
        <v>2075</v>
      </c>
      <c r="Q297" s="99">
        <v>46182</v>
      </c>
      <c r="R297" s="22"/>
      <c r="S297" s="108" t="s">
        <v>2050</v>
      </c>
      <c r="T297" s="21" t="str">
        <f>VLOOKUP(C297,'[1]TABEL SMA'!$C$8:$D$343,2,0)</f>
        <v>SMA NEGERI 1 SINGAPARNA KAB. TASIKMALAYA</v>
      </c>
      <c r="U297" s="22" t="str">
        <f>IFERROR(VLOOKUP(Table11[[#This Row],[Nama]],'[1]TABEL BEASISWA'!$B$4:$D$202,2,FALSE),"TIDAK")</f>
        <v>YA</v>
      </c>
      <c r="V297" s="83" t="str">
        <f>IFERROR(VLOOKUP(Table11[[#This Row],[Nama]],'[1]TABEL BEASISWA'!$B$4:$D$202,3,FALSE),"Tidak ada")</f>
        <v>Solo</v>
      </c>
      <c r="W297" s="24" t="str">
        <f>IFERROR(VLOOKUP(Table11[[#This Row],[Nama]],'[1]TABEL BEASISWA'!$B$4:$E$202,4,FALSE)," ")</f>
        <v>Angkatan 5</v>
      </c>
      <c r="X297" s="91" t="s">
        <v>1528</v>
      </c>
      <c r="Y297" s="96" t="s">
        <v>1529</v>
      </c>
      <c r="Z297" s="96" t="s">
        <v>1582</v>
      </c>
      <c r="AA297" s="97">
        <v>45936</v>
      </c>
      <c r="AB297" s="91" t="s">
        <v>1531</v>
      </c>
      <c r="AC297" s="130">
        <v>1001001</v>
      </c>
      <c r="AD297" s="130">
        <v>327805</v>
      </c>
      <c r="AE297" s="130"/>
      <c r="AF297" s="130" t="s">
        <v>2347</v>
      </c>
    </row>
    <row r="298" spans="1:32" ht="28.5">
      <c r="A298" s="76">
        <f t="shared" si="10"/>
        <v>297</v>
      </c>
      <c r="B298" s="109">
        <f t="shared" si="10"/>
        <v>2230125298</v>
      </c>
      <c r="C298" s="110" t="s">
        <v>2076</v>
      </c>
      <c r="D298" s="89" t="s">
        <v>2077</v>
      </c>
      <c r="E298" s="89" t="s">
        <v>2078</v>
      </c>
      <c r="F298" s="87" t="s">
        <v>32</v>
      </c>
      <c r="G298" s="89" t="s">
        <v>2079</v>
      </c>
      <c r="H298" s="89" t="s">
        <v>2055</v>
      </c>
      <c r="I298" s="137">
        <v>37089</v>
      </c>
      <c r="J298" s="87" t="s">
        <v>35</v>
      </c>
      <c r="K298" s="90" t="e">
        <f>PROPER(#REF!)</f>
        <v>#REF!</v>
      </c>
      <c r="L298" s="87">
        <v>2</v>
      </c>
      <c r="M298" s="87">
        <v>2</v>
      </c>
      <c r="N298" s="89" t="s">
        <v>2080</v>
      </c>
      <c r="O298" s="89" t="s">
        <v>2080</v>
      </c>
      <c r="P298" s="89" t="s">
        <v>2081</v>
      </c>
      <c r="Q298" s="87">
        <v>51262</v>
      </c>
      <c r="R298" s="22"/>
      <c r="S298" s="108" t="s">
        <v>2050</v>
      </c>
      <c r="T298" s="21" t="str">
        <f>VLOOKUP(C298,'[1]TABEL SMA'!$C$8:$D$343,2,0)</f>
        <v>MA SHIROTHUL FUQOHA</v>
      </c>
      <c r="U298" s="22" t="str">
        <f>IFERROR(VLOOKUP(Table11[[#This Row],[Nama]],'[1]TABEL BEASISWA'!$B$4:$D$202,2,FALSE),"TIDAK")</f>
        <v>TIDAK</v>
      </c>
      <c r="V298" s="83" t="str">
        <f>IFERROR(VLOOKUP(Table11[[#This Row],[Nama]],'[1]TABEL BEASISWA'!$B$4:$D$202,3,FALSE),"Tidak ada")</f>
        <v>Tidak ada</v>
      </c>
      <c r="W298" s="24" t="str">
        <f>IFERROR(VLOOKUP(Table11[[#This Row],[Nama]],'[1]TABEL BEASISWA'!$B$4:$E$202,4,FALSE)," ")</f>
        <v xml:space="preserve"> </v>
      </c>
      <c r="X298" s="91" t="s">
        <v>1528</v>
      </c>
      <c r="Y298" s="96" t="s">
        <v>1529</v>
      </c>
      <c r="Z298" s="96" t="s">
        <v>1582</v>
      </c>
      <c r="AA298" s="97">
        <v>45936</v>
      </c>
      <c r="AB298" s="91" t="s">
        <v>1531</v>
      </c>
      <c r="AC298" s="130">
        <v>1001001</v>
      </c>
      <c r="AD298" s="130">
        <v>610110</v>
      </c>
      <c r="AE298" s="130"/>
      <c r="AF298" s="130" t="s">
        <v>2347</v>
      </c>
    </row>
    <row r="299" spans="1:32" ht="28.5">
      <c r="A299" s="76">
        <f t="shared" si="10"/>
        <v>298</v>
      </c>
      <c r="B299" s="99">
        <f t="shared" si="10"/>
        <v>2230125299</v>
      </c>
      <c r="C299" s="100" t="s">
        <v>2082</v>
      </c>
      <c r="D299" s="101" t="s">
        <v>2083</v>
      </c>
      <c r="E299" s="101">
        <v>9972151413</v>
      </c>
      <c r="F299" s="99" t="s">
        <v>32</v>
      </c>
      <c r="G299" s="101" t="s">
        <v>2084</v>
      </c>
      <c r="H299" s="101" t="s">
        <v>2066</v>
      </c>
      <c r="I299" s="138">
        <v>35581</v>
      </c>
      <c r="J299" s="99" t="s">
        <v>35</v>
      </c>
      <c r="K299" s="90" t="e">
        <f>PROPER(#REF!)</f>
        <v>#REF!</v>
      </c>
      <c r="L299" s="99">
        <v>2</v>
      </c>
      <c r="M299" s="99">
        <v>17</v>
      </c>
      <c r="N299" s="101" t="s">
        <v>2085</v>
      </c>
      <c r="O299" s="101" t="s">
        <v>2085</v>
      </c>
      <c r="P299" s="101" t="s">
        <v>2085</v>
      </c>
      <c r="Q299" s="99">
        <v>57126</v>
      </c>
      <c r="R299" s="22"/>
      <c r="S299" s="108" t="s">
        <v>2050</v>
      </c>
      <c r="T299" s="21" t="str">
        <f>VLOOKUP(C299,'[1]TABEL SMA'!$C$8:$D$343,2,0)</f>
        <v xml:space="preserve">MA AL MUKMIN NGRUKI </v>
      </c>
      <c r="U299" s="22" t="str">
        <f>IFERROR(VLOOKUP(Table11[[#This Row],[Nama]],'[1]TABEL BEASISWA'!$B$4:$D$202,2,FALSE),"TIDAK")</f>
        <v>YA</v>
      </c>
      <c r="V299" s="83" t="str">
        <f>IFERROR(VLOOKUP(Table11[[#This Row],[Nama]],'[1]TABEL BEASISWA'!$B$4:$D$202,3,FALSE),"Tidak ada")</f>
        <v>Solo</v>
      </c>
      <c r="W299" s="24" t="str">
        <f>IFERROR(VLOOKUP(Table11[[#This Row],[Nama]],'[1]TABEL BEASISWA'!$B$4:$E$202,4,FALSE)," ")</f>
        <v>Angkatan 5</v>
      </c>
      <c r="X299" s="91" t="s">
        <v>1528</v>
      </c>
      <c r="Y299" s="96" t="s">
        <v>1529</v>
      </c>
      <c r="Z299" s="96" t="s">
        <v>1582</v>
      </c>
      <c r="AA299" s="97">
        <v>45936</v>
      </c>
      <c r="AB299" s="91" t="s">
        <v>1531</v>
      </c>
      <c r="AC299" s="130">
        <v>1001001</v>
      </c>
      <c r="AD299" s="130">
        <v>337204</v>
      </c>
      <c r="AE299" s="130">
        <v>3372041010</v>
      </c>
      <c r="AF299" s="130" t="s">
        <v>2347</v>
      </c>
    </row>
    <row r="300" spans="1:32" ht="28.5">
      <c r="A300" s="76">
        <f t="shared" si="10"/>
        <v>299</v>
      </c>
      <c r="B300" s="87">
        <f t="shared" si="10"/>
        <v>2230125300</v>
      </c>
      <c r="C300" s="88" t="s">
        <v>2086</v>
      </c>
      <c r="D300" s="89" t="s">
        <v>2087</v>
      </c>
      <c r="E300" s="89">
        <v>9965691459</v>
      </c>
      <c r="F300" s="87" t="s">
        <v>32</v>
      </c>
      <c r="G300" s="89" t="s">
        <v>2088</v>
      </c>
      <c r="H300" s="89" t="s">
        <v>2060</v>
      </c>
      <c r="I300" s="137">
        <v>35122</v>
      </c>
      <c r="J300" s="87" t="s">
        <v>35</v>
      </c>
      <c r="K300" s="90" t="e">
        <f>PROPER(#REF!)</f>
        <v>#REF!</v>
      </c>
      <c r="L300" s="87">
        <v>2</v>
      </c>
      <c r="M300" s="87">
        <v>13</v>
      </c>
      <c r="N300" s="89" t="s">
        <v>2089</v>
      </c>
      <c r="O300" s="89" t="s">
        <v>2089</v>
      </c>
      <c r="P300" s="89" t="s">
        <v>2090</v>
      </c>
      <c r="Q300" s="87">
        <v>51355</v>
      </c>
      <c r="R300" s="22"/>
      <c r="S300" s="108" t="s">
        <v>2050</v>
      </c>
      <c r="T300" s="21" t="str">
        <f>VLOOKUP(C300,'[1]TABEL SMA'!$C$8:$D$343,2,0)</f>
        <v>MAN YOGYAKARTA 1</v>
      </c>
      <c r="U300" s="22" t="str">
        <f>IFERROR(VLOOKUP(Table11[[#This Row],[Nama]],'[1]TABEL BEASISWA'!$B$4:$D$202,2,FALSE),"TIDAK")</f>
        <v>YA</v>
      </c>
      <c r="V300" s="83" t="str">
        <f>IFERROR(VLOOKUP(Table11[[#This Row],[Nama]],'[1]TABEL BEASISWA'!$B$4:$D$202,3,FALSE),"Tidak ada")</f>
        <v>Solo</v>
      </c>
      <c r="W300" s="24" t="str">
        <f>IFERROR(VLOOKUP(Table11[[#This Row],[Nama]],'[1]TABEL BEASISWA'!$B$4:$E$202,4,FALSE)," ")</f>
        <v>Angkatan 5</v>
      </c>
      <c r="X300" s="91" t="s">
        <v>1528</v>
      </c>
      <c r="Y300" s="96" t="s">
        <v>1529</v>
      </c>
      <c r="Z300" s="96" t="s">
        <v>1582</v>
      </c>
      <c r="AA300" s="97">
        <v>45936</v>
      </c>
      <c r="AB300" s="91" t="s">
        <v>1531</v>
      </c>
      <c r="AC300" s="130">
        <v>1001001</v>
      </c>
      <c r="AD300" s="130">
        <v>332412</v>
      </c>
      <c r="AE300" s="130">
        <v>3324122002</v>
      </c>
      <c r="AF300" s="130" t="s">
        <v>2347</v>
      </c>
    </row>
    <row r="301" spans="1:32" ht="28.5">
      <c r="A301" s="76">
        <f t="shared" si="10"/>
        <v>300</v>
      </c>
      <c r="B301" s="99">
        <f t="shared" si="10"/>
        <v>2230125301</v>
      </c>
      <c r="C301" s="100" t="s">
        <v>2091</v>
      </c>
      <c r="D301" s="101" t="s">
        <v>2092</v>
      </c>
      <c r="E301" s="101" t="s">
        <v>2093</v>
      </c>
      <c r="F301" s="99" t="s">
        <v>32</v>
      </c>
      <c r="G301" s="101" t="s">
        <v>2094</v>
      </c>
      <c r="H301" s="101" t="s">
        <v>1616</v>
      </c>
      <c r="I301" s="138">
        <v>34860</v>
      </c>
      <c r="J301" s="99" t="s">
        <v>35</v>
      </c>
      <c r="K301" s="90" t="e">
        <f>PROPER(#REF!)</f>
        <v>#REF!</v>
      </c>
      <c r="L301" s="99">
        <v>3</v>
      </c>
      <c r="M301" s="99">
        <v>3</v>
      </c>
      <c r="N301" s="101" t="s">
        <v>977</v>
      </c>
      <c r="O301" s="101" t="s">
        <v>977</v>
      </c>
      <c r="P301" s="101" t="s">
        <v>2095</v>
      </c>
      <c r="Q301" s="99">
        <v>57556</v>
      </c>
      <c r="R301" s="22"/>
      <c r="S301" s="108" t="s">
        <v>2050</v>
      </c>
      <c r="T301" s="21" t="str">
        <f>VLOOKUP(C301,'[1]TABEL SMA'!$C$8:$D$343,2,0)</f>
        <v>SMA NEGERI 1 KARTASURA</v>
      </c>
      <c r="U301" s="22" t="str">
        <f>IFERROR(VLOOKUP(Table11[[#This Row],[Nama]],'[1]TABEL BEASISWA'!$B$4:$D$202,2,FALSE),"TIDAK")</f>
        <v>YA</v>
      </c>
      <c r="V301" s="83" t="str">
        <f>IFERROR(VLOOKUP(Table11[[#This Row],[Nama]],'[1]TABEL BEASISWA'!$B$4:$D$202,3,FALSE),"Tidak ada")</f>
        <v>Solo</v>
      </c>
      <c r="W301" s="24" t="str">
        <f>IFERROR(VLOOKUP(Table11[[#This Row],[Nama]],'[1]TABEL BEASISWA'!$B$4:$E$202,4,FALSE)," ")</f>
        <v>Angkatan 5</v>
      </c>
      <c r="X301" s="91" t="s">
        <v>1528</v>
      </c>
      <c r="Y301" s="96" t="s">
        <v>1529</v>
      </c>
      <c r="Z301" s="96" t="s">
        <v>1582</v>
      </c>
      <c r="AA301" s="97">
        <v>45936</v>
      </c>
      <c r="AB301" s="91" t="s">
        <v>1531</v>
      </c>
      <c r="AC301" s="130">
        <v>1001001</v>
      </c>
      <c r="AD301" s="130">
        <v>331110</v>
      </c>
      <c r="AE301" s="130">
        <v>3311102012</v>
      </c>
      <c r="AF301" s="130" t="s">
        <v>2347</v>
      </c>
    </row>
    <row r="302" spans="1:32" ht="42">
      <c r="A302" s="76">
        <f t="shared" si="10"/>
        <v>301</v>
      </c>
      <c r="B302" s="87">
        <f t="shared" si="10"/>
        <v>2230125302</v>
      </c>
      <c r="C302" s="88" t="s">
        <v>2096</v>
      </c>
      <c r="D302" s="89" t="s">
        <v>2097</v>
      </c>
      <c r="E302" s="89" t="s">
        <v>2098</v>
      </c>
      <c r="F302" s="87" t="s">
        <v>67</v>
      </c>
      <c r="G302" s="89" t="s">
        <v>2099</v>
      </c>
      <c r="H302" s="89" t="s">
        <v>2100</v>
      </c>
      <c r="I302" s="137" t="s">
        <v>2101</v>
      </c>
      <c r="J302" s="87" t="s">
        <v>35</v>
      </c>
      <c r="K302" s="90" t="e">
        <f>PROPER(#REF!)</f>
        <v>#REF!</v>
      </c>
      <c r="L302" s="87">
        <v>1</v>
      </c>
      <c r="M302" s="87">
        <v>1</v>
      </c>
      <c r="N302" s="89" t="s">
        <v>2102</v>
      </c>
      <c r="O302" s="89" t="s">
        <v>2102</v>
      </c>
      <c r="P302" s="89" t="s">
        <v>2049</v>
      </c>
      <c r="Q302" s="87">
        <v>57752</v>
      </c>
      <c r="R302" s="22"/>
      <c r="S302" s="108" t="s">
        <v>2050</v>
      </c>
      <c r="T302" s="21" t="str">
        <f>VLOOKUP(C302,'[1]TABEL SMA'!$C$8:$D$343,2,0)</f>
        <v>SMA MUHAMMADIYAH 1 KARANGANYAR</v>
      </c>
      <c r="U302" s="22" t="str">
        <f>IFERROR(VLOOKUP(Table11[[#This Row],[Nama]],'[1]TABEL BEASISWA'!$B$4:$D$202,2,FALSE),"TIDAK")</f>
        <v>YA</v>
      </c>
      <c r="V302" s="83" t="str">
        <f>IFERROR(VLOOKUP(Table11[[#This Row],[Nama]],'[1]TABEL BEASISWA'!$B$4:$D$202,3,FALSE),"Tidak ada")</f>
        <v>Solo</v>
      </c>
      <c r="W302" s="24" t="str">
        <f>IFERROR(VLOOKUP(Table11[[#This Row],[Nama]],'[1]TABEL BEASISWA'!$B$4:$E$202,4,FALSE)," ")</f>
        <v>Angkatan 5</v>
      </c>
      <c r="X302" s="91" t="s">
        <v>1528</v>
      </c>
      <c r="Y302" s="96" t="s">
        <v>1529</v>
      </c>
      <c r="Z302" s="96" t="s">
        <v>1582</v>
      </c>
      <c r="AA302" s="97">
        <v>45936</v>
      </c>
      <c r="AB302" s="91" t="s">
        <v>1531</v>
      </c>
      <c r="AC302" s="130">
        <v>1001001</v>
      </c>
      <c r="AD302" s="130">
        <v>331315</v>
      </c>
      <c r="AE302" s="130">
        <v>3313152009</v>
      </c>
      <c r="AF302" s="130" t="s">
        <v>2347</v>
      </c>
    </row>
    <row r="303" spans="1:32" ht="42">
      <c r="A303" s="76">
        <f t="shared" si="10"/>
        <v>302</v>
      </c>
      <c r="B303" s="99">
        <f t="shared" si="10"/>
        <v>2230125303</v>
      </c>
      <c r="C303" s="100" t="s">
        <v>2103</v>
      </c>
      <c r="D303" s="101" t="s">
        <v>2104</v>
      </c>
      <c r="E303" s="101" t="s">
        <v>2105</v>
      </c>
      <c r="F303" s="99" t="s">
        <v>32</v>
      </c>
      <c r="G303" s="101" t="s">
        <v>2106</v>
      </c>
      <c r="H303" s="101" t="s">
        <v>2047</v>
      </c>
      <c r="I303" s="138">
        <v>38528</v>
      </c>
      <c r="J303" s="99" t="s">
        <v>35</v>
      </c>
      <c r="K303" s="90" t="e">
        <f>PROPER(#REF!)</f>
        <v>#REF!</v>
      </c>
      <c r="L303" s="99">
        <v>19</v>
      </c>
      <c r="M303" s="99">
        <v>4</v>
      </c>
      <c r="N303" s="101" t="s">
        <v>2107</v>
      </c>
      <c r="O303" s="101" t="s">
        <v>2107</v>
      </c>
      <c r="P303" s="101" t="s">
        <v>2108</v>
      </c>
      <c r="Q303" s="99">
        <v>62391</v>
      </c>
      <c r="R303" s="22"/>
      <c r="S303" s="108" t="s">
        <v>2050</v>
      </c>
      <c r="T303" s="21" t="str">
        <f>VLOOKUP(C303,'[1]TABEL SMA'!$C$8:$D$343,2,0)</f>
        <v xml:space="preserve">SMA MUHAMMADIYAH 2 PALANG </v>
      </c>
      <c r="U303" s="22" t="str">
        <f>IFERROR(VLOOKUP(Table11[[#This Row],[Nama]],'[1]TABEL BEASISWA'!$B$4:$D$202,2,FALSE),"TIDAK")</f>
        <v>YA</v>
      </c>
      <c r="V303" s="83" t="str">
        <f>IFERROR(VLOOKUP(Table11[[#This Row],[Nama]],'[1]TABEL BEASISWA'!$B$4:$D$202,3,FALSE),"Tidak ada")</f>
        <v>Solo</v>
      </c>
      <c r="W303" s="24" t="str">
        <f>IFERROR(VLOOKUP(Table11[[#This Row],[Nama]],'[1]TABEL BEASISWA'!$B$4:$E$202,4,FALSE)," ")</f>
        <v>Angkatan 5</v>
      </c>
      <c r="X303" s="91" t="s">
        <v>1528</v>
      </c>
      <c r="Y303" s="96" t="s">
        <v>1529</v>
      </c>
      <c r="Z303" s="96" t="s">
        <v>1582</v>
      </c>
      <c r="AA303" s="97">
        <v>45936</v>
      </c>
      <c r="AB303" s="91" t="s">
        <v>1531</v>
      </c>
      <c r="AC303" s="130">
        <v>1001001</v>
      </c>
      <c r="AD303" s="130">
        <v>352318</v>
      </c>
      <c r="AE303" s="130"/>
      <c r="AF303" s="130" t="s">
        <v>2347</v>
      </c>
    </row>
    <row r="304" spans="1:32" ht="28">
      <c r="A304" s="76">
        <f t="shared" si="10"/>
        <v>303</v>
      </c>
      <c r="B304" s="111">
        <f t="shared" si="10"/>
        <v>2230125304</v>
      </c>
      <c r="C304" s="112" t="s">
        <v>2109</v>
      </c>
      <c r="D304" s="88" t="s">
        <v>2110</v>
      </c>
      <c r="E304" s="89">
        <v>51123694</v>
      </c>
      <c r="F304" s="87" t="s">
        <v>67</v>
      </c>
      <c r="G304" s="89" t="s">
        <v>2111</v>
      </c>
      <c r="H304" s="89" t="s">
        <v>34</v>
      </c>
      <c r="I304" s="137">
        <v>38653</v>
      </c>
      <c r="J304" s="87" t="s">
        <v>35</v>
      </c>
      <c r="K304" s="90" t="e">
        <f>PROPER(#REF!)</f>
        <v>#REF!</v>
      </c>
      <c r="L304" s="87">
        <v>1</v>
      </c>
      <c r="M304" s="87">
        <v>3</v>
      </c>
      <c r="N304" s="89" t="s">
        <v>2112</v>
      </c>
      <c r="O304" s="89" t="s">
        <v>125</v>
      </c>
      <c r="P304" s="89" t="s">
        <v>126</v>
      </c>
      <c r="Q304" s="87">
        <v>12440</v>
      </c>
      <c r="R304" s="22"/>
      <c r="S304" s="108" t="s">
        <v>2113</v>
      </c>
      <c r="T304" s="21" t="str">
        <f>VLOOKUP(C304,'[1]TABEL SMA'!$C$8:$D$343,2,0)</f>
        <v>SMAN 5 TARUNA BRAWIJAYA</v>
      </c>
      <c r="U304" s="22" t="str">
        <f>IFERROR(VLOOKUP(Table11[[#This Row],[Nama]],'[1]TABEL BEASISWA'!$B$4:$D$202,2,FALSE),"TIDAK")</f>
        <v>TIDAK</v>
      </c>
      <c r="V304" s="83" t="str">
        <f>IFERROR(VLOOKUP(Table11[[#This Row],[Nama]],'[1]TABEL BEASISWA'!$B$4:$D$202,3,FALSE),"Tidak ada")</f>
        <v>Tidak ada</v>
      </c>
      <c r="W304" s="24" t="str">
        <f>IFERROR(VLOOKUP(Table11[[#This Row],[Nama]],'[1]TABEL BEASISWA'!$B$4:$E$202,4,FALSE)," ")</f>
        <v xml:space="preserve"> </v>
      </c>
      <c r="X304" s="91" t="s">
        <v>1528</v>
      </c>
      <c r="Y304" s="96" t="s">
        <v>1529</v>
      </c>
      <c r="Z304" s="96" t="s">
        <v>1582</v>
      </c>
      <c r="AA304" s="97">
        <v>45936</v>
      </c>
      <c r="AB304" s="91" t="s">
        <v>1531</v>
      </c>
      <c r="AC304" s="130">
        <v>1001001</v>
      </c>
      <c r="AD304" s="130">
        <v>317406</v>
      </c>
      <c r="AE304" s="130">
        <v>3174061002</v>
      </c>
      <c r="AF304" s="130" t="s">
        <v>2346</v>
      </c>
    </row>
    <row r="305" spans="1:32" ht="28">
      <c r="A305" s="76">
        <f t="shared" si="10"/>
        <v>304</v>
      </c>
      <c r="B305" s="99">
        <f t="shared" si="10"/>
        <v>2230125305</v>
      </c>
      <c r="C305" s="100" t="s">
        <v>2114</v>
      </c>
      <c r="D305" s="101" t="s">
        <v>2115</v>
      </c>
      <c r="E305" s="101" t="s">
        <v>2116</v>
      </c>
      <c r="F305" s="99" t="s">
        <v>67</v>
      </c>
      <c r="G305" s="101" t="s">
        <v>2117</v>
      </c>
      <c r="H305" s="101" t="s">
        <v>2118</v>
      </c>
      <c r="I305" s="138">
        <v>31112</v>
      </c>
      <c r="J305" s="99" t="s">
        <v>35</v>
      </c>
      <c r="K305" s="90" t="e">
        <f>PROPER(#REF!)</f>
        <v>#REF!</v>
      </c>
      <c r="L305" s="99">
        <v>1</v>
      </c>
      <c r="M305" s="99">
        <v>1</v>
      </c>
      <c r="N305" s="101" t="s">
        <v>2119</v>
      </c>
      <c r="O305" s="101" t="s">
        <v>2119</v>
      </c>
      <c r="P305" s="101" t="s">
        <v>2120</v>
      </c>
      <c r="Q305" s="99">
        <v>54222</v>
      </c>
      <c r="R305" s="22"/>
      <c r="S305" s="108" t="s">
        <v>365</v>
      </c>
      <c r="T305" s="21" t="str">
        <f>VLOOKUP(C305,'[1]TABEL SMA'!$C$8:$D$343,2,0)</f>
        <v xml:space="preserve">SMA NEGERI 5 MAGELANG </v>
      </c>
      <c r="U305" s="22" t="str">
        <f>IFERROR(VLOOKUP(Table11[[#This Row],[Nama]],'[1]TABEL BEASISWA'!$B$4:$D$202,2,FALSE),"TIDAK")</f>
        <v>TIDAK</v>
      </c>
      <c r="V305" s="83" t="str">
        <f>IFERROR(VLOOKUP(Table11[[#This Row],[Nama]],'[1]TABEL BEASISWA'!$B$4:$D$202,3,FALSE),"Tidak ada")</f>
        <v>Tidak ada</v>
      </c>
      <c r="W305" s="24" t="str">
        <f>IFERROR(VLOOKUP(Table11[[#This Row],[Nama]],'[1]TABEL BEASISWA'!$B$4:$E$202,4,FALSE)," ")</f>
        <v xml:space="preserve"> </v>
      </c>
      <c r="X305" s="91" t="s">
        <v>1528</v>
      </c>
      <c r="Y305" s="96" t="s">
        <v>1529</v>
      </c>
      <c r="Z305" s="96" t="s">
        <v>1530</v>
      </c>
      <c r="AA305" s="97">
        <v>45936</v>
      </c>
      <c r="AB305" s="91" t="s">
        <v>1531</v>
      </c>
      <c r="AC305" s="130">
        <v>1001001</v>
      </c>
      <c r="AD305" s="130">
        <v>330608</v>
      </c>
      <c r="AE305" s="130">
        <v>3306082013</v>
      </c>
      <c r="AF305" s="130" t="s">
        <v>2347</v>
      </c>
    </row>
    <row r="306" spans="1:32" ht="56">
      <c r="A306" s="76">
        <f t="shared" si="10"/>
        <v>305</v>
      </c>
      <c r="B306" s="87">
        <f t="shared" si="10"/>
        <v>2230125306</v>
      </c>
      <c r="C306" s="88" t="s">
        <v>2121</v>
      </c>
      <c r="D306" s="89" t="s">
        <v>2122</v>
      </c>
      <c r="E306" s="89" t="s">
        <v>2123</v>
      </c>
      <c r="F306" s="87" t="s">
        <v>32</v>
      </c>
      <c r="G306" s="89" t="s">
        <v>2124</v>
      </c>
      <c r="H306" s="89" t="s">
        <v>2125</v>
      </c>
      <c r="I306" s="137">
        <v>26844</v>
      </c>
      <c r="J306" s="87" t="s">
        <v>35</v>
      </c>
      <c r="K306" s="90" t="e">
        <f>PROPER(#REF!)</f>
        <v>#REF!</v>
      </c>
      <c r="L306" s="87">
        <v>2</v>
      </c>
      <c r="M306" s="87">
        <v>7</v>
      </c>
      <c r="N306" s="89" t="s">
        <v>2126</v>
      </c>
      <c r="O306" s="89" t="s">
        <v>2126</v>
      </c>
      <c r="P306" s="89" t="s">
        <v>574</v>
      </c>
      <c r="Q306" s="87">
        <v>13730</v>
      </c>
      <c r="R306" s="22"/>
      <c r="S306" s="108" t="s">
        <v>2113</v>
      </c>
      <c r="T306" s="21" t="str">
        <f>VLOOKUP(C306,'[1]TABEL SMA'!$C$8:$D$343,2,0)</f>
        <v>SMA SWASTA KRISTEN BPK PENABUR SUKABUMI</v>
      </c>
      <c r="U306" s="22" t="str">
        <f>IFERROR(VLOOKUP(Table11[[#This Row],[Nama]],'[1]TABEL BEASISWA'!$B$4:$D$202,2,FALSE),"TIDAK")</f>
        <v>TIDAK</v>
      </c>
      <c r="V306" s="83" t="str">
        <f>IFERROR(VLOOKUP(Table11[[#This Row],[Nama]],'[1]TABEL BEASISWA'!$B$4:$D$202,3,FALSE),"Tidak ada")</f>
        <v>Tidak ada</v>
      </c>
      <c r="W306" s="24" t="str">
        <f>IFERROR(VLOOKUP(Table11[[#This Row],[Nama]],'[1]TABEL BEASISWA'!$B$4:$E$202,4,FALSE)," ")</f>
        <v xml:space="preserve"> </v>
      </c>
      <c r="X306" s="91" t="s">
        <v>1528</v>
      </c>
      <c r="Y306" s="96" t="s">
        <v>1529</v>
      </c>
      <c r="Z306" s="96" t="s">
        <v>1530</v>
      </c>
      <c r="AA306" s="97">
        <v>45936</v>
      </c>
      <c r="AB306" s="91" t="s">
        <v>1531</v>
      </c>
      <c r="AC306" s="130">
        <v>1001001</v>
      </c>
      <c r="AD306" s="130">
        <v>317509</v>
      </c>
      <c r="AE306" s="130">
        <v>3175091003</v>
      </c>
      <c r="AF306" s="130" t="s">
        <v>2346</v>
      </c>
    </row>
    <row r="307" spans="1:32">
      <c r="A307" s="76">
        <f t="shared" si="10"/>
        <v>306</v>
      </c>
      <c r="B307" s="99">
        <f t="shared" si="10"/>
        <v>2230125307</v>
      </c>
      <c r="C307" s="100" t="s">
        <v>2127</v>
      </c>
      <c r="D307" s="100" t="s">
        <v>2128</v>
      </c>
      <c r="E307" s="101" t="s">
        <v>2129</v>
      </c>
      <c r="F307" s="99" t="s">
        <v>67</v>
      </c>
      <c r="G307" s="101" t="s">
        <v>2130</v>
      </c>
      <c r="H307" s="101" t="s">
        <v>34</v>
      </c>
      <c r="I307" s="138">
        <v>31338</v>
      </c>
      <c r="J307" s="99" t="s">
        <v>1368</v>
      </c>
      <c r="K307" s="90" t="e">
        <f>PROPER(#REF!)</f>
        <v>#REF!</v>
      </c>
      <c r="L307" s="99">
        <v>2</v>
      </c>
      <c r="M307" s="99">
        <v>1</v>
      </c>
      <c r="N307" s="101" t="s">
        <v>2131</v>
      </c>
      <c r="O307" s="101" t="s">
        <v>2131</v>
      </c>
      <c r="P307" s="101" t="s">
        <v>653</v>
      </c>
      <c r="Q307" s="99">
        <v>12160</v>
      </c>
      <c r="R307" s="22"/>
      <c r="S307" s="108" t="s">
        <v>365</v>
      </c>
      <c r="T307" s="21" t="str">
        <f>VLOOKUP(C307,'[1]TABEL SMA'!$C$8:$D$343,2,0)</f>
        <v>SMA ANGKASA 1</v>
      </c>
      <c r="U307" s="22" t="str">
        <f>IFERROR(VLOOKUP(Table11[[#This Row],[Nama]],'[1]TABEL BEASISWA'!$B$4:$D$202,2,FALSE),"TIDAK")</f>
        <v>TIDAK</v>
      </c>
      <c r="V307" s="83" t="str">
        <f>IFERROR(VLOOKUP(Table11[[#This Row],[Nama]],'[1]TABEL BEASISWA'!$B$4:$D$202,3,FALSE),"Tidak ada")</f>
        <v>Tidak ada</v>
      </c>
      <c r="W307" s="24" t="str">
        <f>IFERROR(VLOOKUP(Table11[[#This Row],[Nama]],'[1]TABEL BEASISWA'!$B$4:$E$202,4,FALSE)," ")</f>
        <v xml:space="preserve"> </v>
      </c>
      <c r="X307" s="91" t="s">
        <v>1528</v>
      </c>
      <c r="Y307" s="96" t="s">
        <v>1529</v>
      </c>
      <c r="Z307" s="96" t="s">
        <v>1530</v>
      </c>
      <c r="AA307" s="97">
        <v>45936</v>
      </c>
      <c r="AB307" s="91" t="s">
        <v>1531</v>
      </c>
      <c r="AC307" s="130">
        <v>1001002</v>
      </c>
      <c r="AD307" s="130">
        <v>317407</v>
      </c>
      <c r="AE307" s="130">
        <v>3174071001</v>
      </c>
      <c r="AF307" s="130" t="s">
        <v>2347</v>
      </c>
    </row>
    <row r="308" spans="1:32" ht="28">
      <c r="A308" s="76">
        <f t="shared" si="10"/>
        <v>307</v>
      </c>
      <c r="B308" s="87">
        <f t="shared" si="10"/>
        <v>2230125308</v>
      </c>
      <c r="C308" s="88" t="s">
        <v>2132</v>
      </c>
      <c r="D308" s="88" t="s">
        <v>2133</v>
      </c>
      <c r="E308" s="89" t="s">
        <v>2134</v>
      </c>
      <c r="F308" s="87" t="s">
        <v>32</v>
      </c>
      <c r="G308" s="89" t="s">
        <v>2135</v>
      </c>
      <c r="H308" s="89" t="s">
        <v>34</v>
      </c>
      <c r="I308" s="137" t="s">
        <v>2136</v>
      </c>
      <c r="J308" s="87" t="s">
        <v>35</v>
      </c>
      <c r="K308" s="90" t="e">
        <f>PROPER(#REF!)</f>
        <v>#REF!</v>
      </c>
      <c r="L308" s="87">
        <v>11</v>
      </c>
      <c r="M308" s="87">
        <v>5</v>
      </c>
      <c r="N308" s="89" t="s">
        <v>1011</v>
      </c>
      <c r="O308" s="89" t="s">
        <v>1011</v>
      </c>
      <c r="P308" s="89" t="s">
        <v>1011</v>
      </c>
      <c r="Q308" s="87">
        <v>12520</v>
      </c>
      <c r="R308" s="22"/>
      <c r="S308" s="108" t="s">
        <v>365</v>
      </c>
      <c r="T308" s="21" t="str">
        <f>VLOOKUP(C308,'[1]TABEL SMA'!$C$8:$D$343,2,0)</f>
        <v>SMA CENDRAWASIH 1</v>
      </c>
      <c r="U308" s="22" t="str">
        <f>IFERROR(VLOOKUP(Table11[[#This Row],[Nama]],'[1]TABEL BEASISWA'!$B$4:$D$202,2,FALSE),"TIDAK")</f>
        <v>TIDAK</v>
      </c>
      <c r="V308" s="83" t="str">
        <f>IFERROR(VLOOKUP(Table11[[#This Row],[Nama]],'[1]TABEL BEASISWA'!$B$4:$D$202,3,FALSE),"Tidak ada")</f>
        <v>Tidak ada</v>
      </c>
      <c r="W308" s="24" t="str">
        <f>IFERROR(VLOOKUP(Table11[[#This Row],[Nama]],'[1]TABEL BEASISWA'!$B$4:$E$202,4,FALSE)," ")</f>
        <v xml:space="preserve"> </v>
      </c>
      <c r="X308" s="91" t="s">
        <v>1528</v>
      </c>
      <c r="Y308" s="96" t="s">
        <v>1529</v>
      </c>
      <c r="Z308" s="96" t="s">
        <v>1530</v>
      </c>
      <c r="AA308" s="97">
        <v>45936</v>
      </c>
      <c r="AB308" s="91" t="s">
        <v>1531</v>
      </c>
      <c r="AC308" s="130">
        <v>1001001</v>
      </c>
      <c r="AD308" s="130">
        <v>317409</v>
      </c>
      <c r="AE308" s="130">
        <v>3174091001</v>
      </c>
      <c r="AF308" s="130" t="s">
        <v>2347</v>
      </c>
    </row>
    <row r="309" spans="1:32" ht="28.5">
      <c r="A309" s="76">
        <f t="shared" si="10"/>
        <v>308</v>
      </c>
      <c r="B309" s="99">
        <f t="shared" si="10"/>
        <v>2230125309</v>
      </c>
      <c r="C309" s="100" t="s">
        <v>2137</v>
      </c>
      <c r="D309" s="101" t="s">
        <v>2138</v>
      </c>
      <c r="E309" s="101" t="s">
        <v>2139</v>
      </c>
      <c r="F309" s="99" t="s">
        <v>32</v>
      </c>
      <c r="G309" s="101" t="s">
        <v>2140</v>
      </c>
      <c r="H309" s="101" t="s">
        <v>2141</v>
      </c>
      <c r="I309" s="138">
        <v>34744</v>
      </c>
      <c r="J309" s="99" t="s">
        <v>35</v>
      </c>
      <c r="K309" s="90" t="e">
        <f>PROPER(#REF!)</f>
        <v>#REF!</v>
      </c>
      <c r="L309" s="99">
        <v>1</v>
      </c>
      <c r="M309" s="99">
        <v>7</v>
      </c>
      <c r="N309" s="101" t="s">
        <v>2142</v>
      </c>
      <c r="O309" s="101" t="s">
        <v>2142</v>
      </c>
      <c r="P309" s="101" t="s">
        <v>2143</v>
      </c>
      <c r="Q309" s="99">
        <v>12520</v>
      </c>
      <c r="R309" s="22"/>
      <c r="S309" s="108" t="s">
        <v>2050</v>
      </c>
      <c r="T309" s="21" t="str">
        <f>VLOOKUP(C309,'[1]TABEL SMA'!$C$8:$D$343,2,0)</f>
        <v>PAKET C KRATONAN</v>
      </c>
      <c r="U309" s="22" t="str">
        <f>IFERROR(VLOOKUP(Table11[[#This Row],[Nama]],'[1]TABEL BEASISWA'!$B$4:$D$202,2,FALSE),"TIDAK")</f>
        <v>YA</v>
      </c>
      <c r="V309" s="83" t="str">
        <f>IFERROR(VLOOKUP(Table11[[#This Row],[Nama]],'[1]TABEL BEASISWA'!$B$4:$D$202,3,FALSE),"Tidak ada")</f>
        <v>Solo</v>
      </c>
      <c r="W309" s="24" t="str">
        <f>IFERROR(VLOOKUP(Table11[[#This Row],[Nama]],'[1]TABEL BEASISWA'!$B$4:$E$202,4,FALSE)," ")</f>
        <v>Angkatan 5</v>
      </c>
      <c r="X309" s="91" t="s">
        <v>1528</v>
      </c>
      <c r="Y309" s="96" t="s">
        <v>1529</v>
      </c>
      <c r="Z309" s="96" t="s">
        <v>1582</v>
      </c>
      <c r="AA309" s="97">
        <v>45936</v>
      </c>
      <c r="AB309" s="91" t="s">
        <v>1531</v>
      </c>
      <c r="AC309" s="130">
        <v>1001001</v>
      </c>
      <c r="AD309" s="130">
        <v>357301</v>
      </c>
      <c r="AE309" s="130">
        <v>3573011006</v>
      </c>
      <c r="AF309" s="130" t="s">
        <v>2347</v>
      </c>
    </row>
    <row r="310" spans="1:32" ht="28.5">
      <c r="A310" s="76">
        <f t="shared" ref="A310:B325" si="11">A309+1</f>
        <v>309</v>
      </c>
      <c r="B310" s="87">
        <f t="shared" si="11"/>
        <v>2230125310</v>
      </c>
      <c r="C310" s="88" t="s">
        <v>2144</v>
      </c>
      <c r="D310" s="89" t="s">
        <v>2145</v>
      </c>
      <c r="E310" s="89">
        <v>9986012775</v>
      </c>
      <c r="F310" s="87" t="s">
        <v>32</v>
      </c>
      <c r="G310" s="89" t="s">
        <v>2146</v>
      </c>
      <c r="H310" s="89" t="s">
        <v>1498</v>
      </c>
      <c r="I310" s="137">
        <v>34823</v>
      </c>
      <c r="J310" s="87" t="s">
        <v>35</v>
      </c>
      <c r="K310" s="90" t="e">
        <f>PROPER(#REF!)</f>
        <v>#REF!</v>
      </c>
      <c r="L310" s="87">
        <v>11</v>
      </c>
      <c r="M310" s="87">
        <v>4</v>
      </c>
      <c r="N310" s="89" t="s">
        <v>2147</v>
      </c>
      <c r="O310" s="89" t="s">
        <v>2147</v>
      </c>
      <c r="P310" s="89" t="s">
        <v>2148</v>
      </c>
      <c r="Q310" s="87">
        <v>57281</v>
      </c>
      <c r="R310" s="22"/>
      <c r="S310" s="108" t="s">
        <v>2050</v>
      </c>
      <c r="T310" s="21" t="str">
        <f>VLOOKUP(C310,'[1]TABEL SMA'!$C$8:$D$343,2,0)</f>
        <v xml:space="preserve">SMK DIAN KIRANA 1 SRAGEN </v>
      </c>
      <c r="U310" s="22" t="str">
        <f>IFERROR(VLOOKUP(Table11[[#This Row],[Nama]],'[1]TABEL BEASISWA'!$B$4:$D$202,2,FALSE),"TIDAK")</f>
        <v>YA</v>
      </c>
      <c r="V310" s="83" t="str">
        <f>IFERROR(VLOOKUP(Table11[[#This Row],[Nama]],'[1]TABEL BEASISWA'!$B$4:$D$202,3,FALSE),"Tidak ada")</f>
        <v>Solo</v>
      </c>
      <c r="W310" s="24" t="str">
        <f>IFERROR(VLOOKUP(Table11[[#This Row],[Nama]],'[1]TABEL BEASISWA'!$B$4:$E$202,4,FALSE)," ")</f>
        <v>Angkatan 5</v>
      </c>
      <c r="X310" s="91" t="s">
        <v>1528</v>
      </c>
      <c r="Y310" s="96" t="s">
        <v>1529</v>
      </c>
      <c r="Z310" s="96" t="s">
        <v>1582</v>
      </c>
      <c r="AA310" s="97">
        <v>45936</v>
      </c>
      <c r="AB310" s="91" t="s">
        <v>1531</v>
      </c>
      <c r="AC310" s="130">
        <v>1001001</v>
      </c>
      <c r="AD310" s="130">
        <v>331214</v>
      </c>
      <c r="AE310" s="130"/>
      <c r="AF310" s="130" t="s">
        <v>2347</v>
      </c>
    </row>
    <row r="311" spans="1:32" ht="42">
      <c r="A311" s="76">
        <f t="shared" si="11"/>
        <v>310</v>
      </c>
      <c r="B311" s="99">
        <f t="shared" si="11"/>
        <v>2230125311</v>
      </c>
      <c r="C311" s="100" t="s">
        <v>2149</v>
      </c>
      <c r="D311" s="101" t="s">
        <v>2150</v>
      </c>
      <c r="E311" s="101" t="s">
        <v>2151</v>
      </c>
      <c r="F311" s="99" t="s">
        <v>67</v>
      </c>
      <c r="G311" s="101" t="s">
        <v>2152</v>
      </c>
      <c r="H311" s="101" t="s">
        <v>2153</v>
      </c>
      <c r="I311" s="138">
        <v>36732</v>
      </c>
      <c r="J311" s="99" t="s">
        <v>35</v>
      </c>
      <c r="K311" s="90" t="e">
        <f>PROPER(#REF!)</f>
        <v>#REF!</v>
      </c>
      <c r="L311" s="99">
        <v>3</v>
      </c>
      <c r="M311" s="99">
        <v>5</v>
      </c>
      <c r="N311" s="101" t="s">
        <v>2154</v>
      </c>
      <c r="O311" s="101" t="s">
        <v>2155</v>
      </c>
      <c r="P311" s="101" t="s">
        <v>2155</v>
      </c>
      <c r="Q311" s="99">
        <v>57316</v>
      </c>
      <c r="R311" s="22"/>
      <c r="S311" s="108" t="s">
        <v>2050</v>
      </c>
      <c r="T311" s="21" t="str">
        <f>VLOOKUP(C311,'[1]TABEL SMA'!$C$8:$D$343,2,0)</f>
        <v>PAKET C PRASOJO SURAKARTA JAWA TENGAH</v>
      </c>
      <c r="U311" s="22" t="str">
        <f>IFERROR(VLOOKUP(Table11[[#This Row],[Nama]],'[1]TABEL BEASISWA'!$B$4:$D$202,2,FALSE),"TIDAK")</f>
        <v>YA</v>
      </c>
      <c r="V311" s="83" t="str">
        <f>IFERROR(VLOOKUP(Table11[[#This Row],[Nama]],'[1]TABEL BEASISWA'!$B$4:$D$202,3,FALSE),"Tidak ada")</f>
        <v>Solo</v>
      </c>
      <c r="W311" s="24" t="str">
        <f>IFERROR(VLOOKUP(Table11[[#This Row],[Nama]],'[1]TABEL BEASISWA'!$B$4:$E$202,4,FALSE)," ")</f>
        <v>Angkatan 5</v>
      </c>
      <c r="X311" s="91" t="s">
        <v>1528</v>
      </c>
      <c r="Y311" s="96" t="s">
        <v>1529</v>
      </c>
      <c r="Z311" s="96" t="s">
        <v>1582</v>
      </c>
      <c r="AA311" s="97">
        <v>45936</v>
      </c>
      <c r="AB311" s="91" t="s">
        <v>1531</v>
      </c>
      <c r="AC311" s="130">
        <v>1001001</v>
      </c>
      <c r="AD311" s="130">
        <v>360209</v>
      </c>
      <c r="AE311" s="130"/>
      <c r="AF311" s="130" t="s">
        <v>2347</v>
      </c>
    </row>
    <row r="312" spans="1:32" ht="28">
      <c r="A312" s="76">
        <f t="shared" si="11"/>
        <v>311</v>
      </c>
      <c r="B312" s="87">
        <f t="shared" si="11"/>
        <v>2230125312</v>
      </c>
      <c r="C312" s="88" t="s">
        <v>2156</v>
      </c>
      <c r="D312" s="88" t="s">
        <v>2157</v>
      </c>
      <c r="E312" s="89">
        <v>9962105485</v>
      </c>
      <c r="F312" s="87" t="s">
        <v>32</v>
      </c>
      <c r="G312" s="89" t="s">
        <v>2158</v>
      </c>
      <c r="H312" s="89" t="s">
        <v>34</v>
      </c>
      <c r="I312" s="137">
        <v>35362</v>
      </c>
      <c r="J312" s="87" t="s">
        <v>1368</v>
      </c>
      <c r="K312" s="90" t="e">
        <f>PROPER(#REF!)</f>
        <v>#REF!</v>
      </c>
      <c r="L312" s="87">
        <v>8</v>
      </c>
      <c r="M312" s="87">
        <v>5</v>
      </c>
      <c r="N312" s="89" t="s">
        <v>473</v>
      </c>
      <c r="O312" s="89" t="s">
        <v>473</v>
      </c>
      <c r="P312" s="89" t="s">
        <v>472</v>
      </c>
      <c r="Q312" s="87">
        <v>10320</v>
      </c>
      <c r="R312" s="22"/>
      <c r="S312" s="108" t="s">
        <v>365</v>
      </c>
      <c r="T312" s="21" t="str">
        <f>VLOOKUP(C312,'[1]TABEL SMA'!$C$8:$D$343,2,0)</f>
        <v>SMA NEGERI 68 JAKARTA</v>
      </c>
      <c r="U312" s="22" t="str">
        <f>IFERROR(VLOOKUP(Table11[[#This Row],[Nama]],'[1]TABEL BEASISWA'!$B$4:$D$202,2,FALSE),"TIDAK")</f>
        <v>TIDAK</v>
      </c>
      <c r="V312" s="83" t="str">
        <f>IFERROR(VLOOKUP(Table11[[#This Row],[Nama]],'[1]TABEL BEASISWA'!$B$4:$D$202,3,FALSE),"Tidak ada")</f>
        <v>Tidak ada</v>
      </c>
      <c r="W312" s="24" t="str">
        <f>IFERROR(VLOOKUP(Table11[[#This Row],[Nama]],'[1]TABEL BEASISWA'!$B$4:$E$202,4,FALSE)," ")</f>
        <v xml:space="preserve"> </v>
      </c>
      <c r="X312" s="91" t="s">
        <v>1528</v>
      </c>
      <c r="Y312" s="96" t="s">
        <v>1529</v>
      </c>
      <c r="Z312" s="96" t="s">
        <v>1530</v>
      </c>
      <c r="AA312" s="97">
        <v>45936</v>
      </c>
      <c r="AB312" s="91" t="s">
        <v>1531</v>
      </c>
      <c r="AC312" s="130">
        <v>1001002</v>
      </c>
      <c r="AD312" s="130">
        <v>317106</v>
      </c>
      <c r="AE312" s="130">
        <v>3171061002</v>
      </c>
      <c r="AF312" s="130" t="s">
        <v>2347</v>
      </c>
    </row>
    <row r="313" spans="1:32" ht="28">
      <c r="A313" s="76">
        <f t="shared" si="11"/>
        <v>312</v>
      </c>
      <c r="B313" s="99">
        <f t="shared" si="11"/>
        <v>2230125313</v>
      </c>
      <c r="C313" s="100" t="s">
        <v>2159</v>
      </c>
      <c r="D313" s="101" t="s">
        <v>2160</v>
      </c>
      <c r="E313" s="101">
        <v>9961559904</v>
      </c>
      <c r="F313" s="99" t="s">
        <v>32</v>
      </c>
      <c r="G313" s="101" t="s">
        <v>2161</v>
      </c>
      <c r="H313" s="101" t="s">
        <v>2162</v>
      </c>
      <c r="I313" s="138">
        <v>35777</v>
      </c>
      <c r="J313" s="99" t="s">
        <v>35</v>
      </c>
      <c r="K313" s="90" t="e">
        <f>PROPER(#REF!)</f>
        <v>#REF!</v>
      </c>
      <c r="L313" s="99">
        <v>7</v>
      </c>
      <c r="M313" s="99">
        <v>5</v>
      </c>
      <c r="N313" s="101" t="s">
        <v>2163</v>
      </c>
      <c r="O313" s="101" t="s">
        <v>2163</v>
      </c>
      <c r="P313" s="101" t="s">
        <v>2164</v>
      </c>
      <c r="Q313" s="99">
        <v>40243</v>
      </c>
      <c r="R313" s="22"/>
      <c r="S313" s="108" t="s">
        <v>2165</v>
      </c>
      <c r="T313" s="21" t="str">
        <f>VLOOKUP(C313,'[1]TABEL SMA'!$C$8:$D$343,2,0)</f>
        <v>SMA NEGERI 25 BANDUNG</v>
      </c>
      <c r="U313" s="22" t="str">
        <f>IFERROR(VLOOKUP(Table11[[#This Row],[Nama]],'[1]TABEL BEASISWA'!$B$4:$D$202,2,FALSE),"TIDAK")</f>
        <v>YA</v>
      </c>
      <c r="V313" s="83" t="str">
        <f>IFERROR(VLOOKUP(Table11[[#This Row],[Nama]],'[1]TABEL BEASISWA'!$B$4:$D$202,3,FALSE),"Tidak ada")</f>
        <v>Beasiswa 100%, Yayasan Karya Bhakti Adhyaksa</v>
      </c>
      <c r="W313" s="24" t="str">
        <f>IFERROR(VLOOKUP(Table11[[#This Row],[Nama]],'[1]TABEL BEASISWA'!$B$4:$E$202,4,FALSE)," ")</f>
        <v>Angkatan 5</v>
      </c>
      <c r="X313" s="91" t="s">
        <v>1528</v>
      </c>
      <c r="Y313" s="96" t="s">
        <v>1529</v>
      </c>
      <c r="Z313" s="96" t="s">
        <v>1582</v>
      </c>
      <c r="AA313" s="97">
        <v>45936</v>
      </c>
      <c r="AB313" s="91" t="s">
        <v>1531</v>
      </c>
      <c r="AC313" s="130">
        <v>1001001</v>
      </c>
      <c r="AD313" s="130">
        <v>327310</v>
      </c>
      <c r="AE313" s="130">
        <v>3273101006</v>
      </c>
      <c r="AF313" s="130" t="s">
        <v>2348</v>
      </c>
    </row>
    <row r="314" spans="1:32" ht="28.5">
      <c r="A314" s="76">
        <f t="shared" si="11"/>
        <v>313</v>
      </c>
      <c r="B314" s="87">
        <f t="shared" si="11"/>
        <v>2230125314</v>
      </c>
      <c r="C314" s="88" t="s">
        <v>2166</v>
      </c>
      <c r="D314" s="89" t="s">
        <v>2167</v>
      </c>
      <c r="E314" s="89">
        <v>9959318919</v>
      </c>
      <c r="F314" s="87" t="s">
        <v>32</v>
      </c>
      <c r="G314" s="89" t="s">
        <v>2168</v>
      </c>
      <c r="H314" s="89" t="s">
        <v>2153</v>
      </c>
      <c r="I314" s="137">
        <v>34847</v>
      </c>
      <c r="J314" s="87" t="s">
        <v>35</v>
      </c>
      <c r="K314" s="90" t="e">
        <f>PROPER(#REF!)</f>
        <v>#REF!</v>
      </c>
      <c r="L314" s="87">
        <v>4</v>
      </c>
      <c r="M314" s="87">
        <v>2</v>
      </c>
      <c r="N314" s="89" t="s">
        <v>2085</v>
      </c>
      <c r="O314" s="89" t="s">
        <v>2085</v>
      </c>
      <c r="P314" s="89" t="s">
        <v>2085</v>
      </c>
      <c r="Q314" s="87">
        <v>57126</v>
      </c>
      <c r="R314" s="22"/>
      <c r="S314" s="108" t="s">
        <v>2050</v>
      </c>
      <c r="T314" s="21" t="str">
        <f>VLOOKUP(C314,'[1]TABEL SMA'!$C$8:$D$343,2,0)</f>
        <v>MA AL MUKMIN NGRUKI</v>
      </c>
      <c r="U314" s="22" t="str">
        <f>IFERROR(VLOOKUP(Table11[[#This Row],[Nama]],'[1]TABEL BEASISWA'!$B$4:$D$202,2,FALSE),"TIDAK")</f>
        <v>YA</v>
      </c>
      <c r="V314" s="83" t="str">
        <f>IFERROR(VLOOKUP(Table11[[#This Row],[Nama]],'[1]TABEL BEASISWA'!$B$4:$D$202,3,FALSE),"Tidak ada")</f>
        <v>Solo</v>
      </c>
      <c r="W314" s="24" t="str">
        <f>IFERROR(VLOOKUP(Table11[[#This Row],[Nama]],'[1]TABEL BEASISWA'!$B$4:$E$202,4,FALSE)," ")</f>
        <v>Angkatan 5</v>
      </c>
      <c r="X314" s="91" t="s">
        <v>1528</v>
      </c>
      <c r="Y314" s="96" t="s">
        <v>1529</v>
      </c>
      <c r="Z314" s="96" t="s">
        <v>1582</v>
      </c>
      <c r="AA314" s="97">
        <v>45936</v>
      </c>
      <c r="AB314" s="91" t="s">
        <v>1531</v>
      </c>
      <c r="AC314" s="130">
        <v>1001001</v>
      </c>
      <c r="AD314" s="130">
        <v>337204</v>
      </c>
      <c r="AE314" s="130">
        <v>3372041010</v>
      </c>
      <c r="AF314" s="130" t="s">
        <v>2347</v>
      </c>
    </row>
    <row r="315" spans="1:32" ht="28.5">
      <c r="A315" s="76">
        <f t="shared" si="11"/>
        <v>314</v>
      </c>
      <c r="B315" s="99">
        <v>2230125315</v>
      </c>
      <c r="C315" s="100" t="s">
        <v>2169</v>
      </c>
      <c r="D315" s="101" t="s">
        <v>2170</v>
      </c>
      <c r="E315" s="101">
        <v>9980363883</v>
      </c>
      <c r="F315" s="99" t="s">
        <v>67</v>
      </c>
      <c r="G315" s="101" t="s">
        <v>2171</v>
      </c>
      <c r="H315" s="101" t="s">
        <v>2047</v>
      </c>
      <c r="I315" s="138">
        <v>35941</v>
      </c>
      <c r="J315" s="99" t="s">
        <v>35</v>
      </c>
      <c r="K315" s="90" t="e">
        <f>PROPER(#REF!)</f>
        <v>#REF!</v>
      </c>
      <c r="L315" s="99">
        <v>16</v>
      </c>
      <c r="M315" s="99">
        <v>6</v>
      </c>
      <c r="N315" s="101" t="s">
        <v>2172</v>
      </c>
      <c r="O315" s="101" t="s">
        <v>2172</v>
      </c>
      <c r="P315" s="101" t="s">
        <v>2173</v>
      </c>
      <c r="Q315" s="99">
        <v>62365</v>
      </c>
      <c r="R315" s="22"/>
      <c r="S315" s="108" t="s">
        <v>2050</v>
      </c>
      <c r="T315" s="21" t="str">
        <f>VLOOKUP(C315,'[1]TABEL SMA'!$C$8:$D$343,2,0)</f>
        <v>SMK NEGERI 2 TUBAN</v>
      </c>
      <c r="U315" s="22" t="str">
        <f>IFERROR(VLOOKUP(Table11[[#This Row],[Nama]],'[1]TABEL BEASISWA'!$B$4:$D$202,2,FALSE),"TIDAK")</f>
        <v>YA</v>
      </c>
      <c r="V315" s="83" t="str">
        <f>IFERROR(VLOOKUP(Table11[[#This Row],[Nama]],'[1]TABEL BEASISWA'!$B$4:$D$202,3,FALSE),"Tidak ada")</f>
        <v>Solo</v>
      </c>
      <c r="W315" s="24" t="str">
        <f>IFERROR(VLOOKUP(Table11[[#This Row],[Nama]],'[1]TABEL BEASISWA'!$B$4:$E$202,4,FALSE)," ")</f>
        <v>Angkatan 5</v>
      </c>
      <c r="X315" s="91" t="s">
        <v>1528</v>
      </c>
      <c r="Y315" s="96" t="s">
        <v>1529</v>
      </c>
      <c r="Z315" s="96" t="s">
        <v>1582</v>
      </c>
      <c r="AA315" s="97">
        <v>45936</v>
      </c>
      <c r="AB315" s="91" t="s">
        <v>1531</v>
      </c>
      <c r="AC315" s="130">
        <v>1001001</v>
      </c>
      <c r="AD315" s="130">
        <v>352305</v>
      </c>
      <c r="AE315" s="130">
        <v>3523052002</v>
      </c>
      <c r="AF315" s="130" t="s">
        <v>2347</v>
      </c>
    </row>
    <row r="316" spans="1:32" ht="28.5">
      <c r="A316" s="76">
        <f t="shared" si="11"/>
        <v>315</v>
      </c>
      <c r="B316" s="87">
        <v>2230125316</v>
      </c>
      <c r="C316" s="88" t="s">
        <v>2174</v>
      </c>
      <c r="D316" s="89" t="s">
        <v>2175</v>
      </c>
      <c r="E316" s="89">
        <v>9983530226</v>
      </c>
      <c r="F316" s="87" t="s">
        <v>32</v>
      </c>
      <c r="G316" s="89" t="s">
        <v>2176</v>
      </c>
      <c r="H316" s="89" t="s">
        <v>2177</v>
      </c>
      <c r="I316" s="137">
        <v>35872</v>
      </c>
      <c r="J316" s="87" t="s">
        <v>35</v>
      </c>
      <c r="K316" s="90" t="e">
        <f>PROPER(#REF!)</f>
        <v>#REF!</v>
      </c>
      <c r="L316" s="87">
        <v>21</v>
      </c>
      <c r="M316" s="87">
        <v>5</v>
      </c>
      <c r="N316" s="89" t="s">
        <v>2178</v>
      </c>
      <c r="O316" s="89" t="s">
        <v>2178</v>
      </c>
      <c r="P316" s="89" t="s">
        <v>2177</v>
      </c>
      <c r="Q316" s="87">
        <v>66319</v>
      </c>
      <c r="R316" s="22"/>
      <c r="S316" s="108" t="s">
        <v>2050</v>
      </c>
      <c r="T316" s="21" t="str">
        <f>VLOOKUP(C316,'[1]TABEL SMA'!$C$8:$D$343,2,0)</f>
        <v>SMA NEGERI 2 TRENGGALEK</v>
      </c>
      <c r="U316" s="22" t="str">
        <f>IFERROR(VLOOKUP(Table11[[#This Row],[Nama]],'[1]TABEL BEASISWA'!$B$4:$D$202,2,FALSE),"TIDAK")</f>
        <v>YA</v>
      </c>
      <c r="V316" s="83" t="str">
        <f>IFERROR(VLOOKUP(Table11[[#This Row],[Nama]],'[1]TABEL BEASISWA'!$B$4:$D$202,3,FALSE),"Tidak ada")</f>
        <v>Solo</v>
      </c>
      <c r="W316" s="24" t="str">
        <f>IFERROR(VLOOKUP(Table11[[#This Row],[Nama]],'[1]TABEL BEASISWA'!$B$4:$E$202,4,FALSE)," ")</f>
        <v>Angkatan 5</v>
      </c>
      <c r="X316" s="91" t="s">
        <v>1528</v>
      </c>
      <c r="Y316" s="96" t="s">
        <v>1529</v>
      </c>
      <c r="Z316" s="96" t="s">
        <v>1582</v>
      </c>
      <c r="AA316" s="97">
        <v>45936</v>
      </c>
      <c r="AB316" s="91" t="s">
        <v>1531</v>
      </c>
      <c r="AC316" s="130">
        <v>1001001</v>
      </c>
      <c r="AD316" s="130">
        <v>350311</v>
      </c>
      <c r="AE316" s="130">
        <v>3503112004</v>
      </c>
      <c r="AF316" s="130" t="s">
        <v>2347</v>
      </c>
    </row>
    <row r="317" spans="1:32">
      <c r="A317" s="76">
        <f t="shared" si="11"/>
        <v>316</v>
      </c>
      <c r="B317" s="99">
        <f>B316+1</f>
        <v>2230125317</v>
      </c>
      <c r="C317" s="100" t="s">
        <v>2179</v>
      </c>
      <c r="D317" s="101" t="s">
        <v>2180</v>
      </c>
      <c r="E317" s="101">
        <v>9974112983</v>
      </c>
      <c r="F317" s="99" t="s">
        <v>67</v>
      </c>
      <c r="G317" s="101" t="s">
        <v>2181</v>
      </c>
      <c r="H317" s="101" t="s">
        <v>34</v>
      </c>
      <c r="I317" s="138">
        <v>35626</v>
      </c>
      <c r="J317" s="99" t="s">
        <v>35</v>
      </c>
      <c r="K317" s="90" t="e">
        <f>PROPER(#REF!)</f>
        <v>#REF!</v>
      </c>
      <c r="L317" s="99">
        <v>1</v>
      </c>
      <c r="M317" s="99">
        <v>2</v>
      </c>
      <c r="N317" s="101" t="s">
        <v>2182</v>
      </c>
      <c r="O317" s="101" t="s">
        <v>2182</v>
      </c>
      <c r="P317" s="101" t="s">
        <v>2183</v>
      </c>
      <c r="Q317" s="99">
        <v>31111</v>
      </c>
      <c r="R317" s="22"/>
      <c r="S317" s="108" t="s">
        <v>365</v>
      </c>
      <c r="T317" s="21" t="str">
        <f>VLOOKUP(C317,'[1]TABEL SMA'!$C$8:$D$343,2,0)</f>
        <v>SMA YAYASAN BAKTI</v>
      </c>
      <c r="U317" s="22" t="str">
        <f>IFERROR(VLOOKUP(Table11[[#This Row],[Nama]],'[1]TABEL BEASISWA'!$B$4:$D$202,2,FALSE),"TIDAK")</f>
        <v>TIDAK</v>
      </c>
      <c r="V317" s="83" t="str">
        <f>IFERROR(VLOOKUP(Table11[[#This Row],[Nama]],'[1]TABEL BEASISWA'!$B$4:$D$202,3,FALSE),"Tidak ada")</f>
        <v>Tidak ada</v>
      </c>
      <c r="W317" s="24" t="str">
        <f>IFERROR(VLOOKUP(Table11[[#This Row],[Nama]],'[1]TABEL BEASISWA'!$B$4:$E$202,4,FALSE)," ")</f>
        <v xml:space="preserve"> </v>
      </c>
      <c r="X317" s="91" t="s">
        <v>1528</v>
      </c>
      <c r="Y317" s="96" t="s">
        <v>1529</v>
      </c>
      <c r="Z317" s="96" t="s">
        <v>1530</v>
      </c>
      <c r="AA317" s="97">
        <v>45936</v>
      </c>
      <c r="AB317" s="91" t="s">
        <v>1531</v>
      </c>
      <c r="AC317" s="130">
        <v>1001001</v>
      </c>
      <c r="AD317" s="130">
        <v>167402</v>
      </c>
      <c r="AE317" s="130">
        <v>1674021009</v>
      </c>
      <c r="AF317" s="130" t="s">
        <v>2347</v>
      </c>
    </row>
    <row r="318" spans="1:32" ht="42">
      <c r="A318" s="76">
        <f t="shared" si="11"/>
        <v>317</v>
      </c>
      <c r="B318" s="87">
        <v>2230125318</v>
      </c>
      <c r="C318" s="89" t="s">
        <v>2184</v>
      </c>
      <c r="D318" s="88" t="s">
        <v>2185</v>
      </c>
      <c r="E318" s="89" t="s">
        <v>2186</v>
      </c>
      <c r="F318" s="87" t="s">
        <v>32</v>
      </c>
      <c r="G318" s="89" t="s">
        <v>2187</v>
      </c>
      <c r="H318" s="89" t="s">
        <v>2188</v>
      </c>
      <c r="I318" s="137">
        <v>38359</v>
      </c>
      <c r="J318" s="87" t="s">
        <v>35</v>
      </c>
      <c r="K318" s="90" t="e">
        <f>PROPER(#REF!)</f>
        <v>#REF!</v>
      </c>
      <c r="L318" s="87">
        <v>7</v>
      </c>
      <c r="M318" s="87">
        <v>0</v>
      </c>
      <c r="N318" s="89" t="s">
        <v>2189</v>
      </c>
      <c r="O318" s="89" t="s">
        <v>2189</v>
      </c>
      <c r="P318" s="89" t="s">
        <v>2190</v>
      </c>
      <c r="Q318" s="87">
        <v>55194</v>
      </c>
      <c r="R318" s="22"/>
      <c r="S318" s="108" t="s">
        <v>2050</v>
      </c>
      <c r="T318" s="21" t="str">
        <f>VLOOKUP(C318,'[1]TABEL SMA'!$C$8:$D$343,2,0)</f>
        <v xml:space="preserve">MA MU'ALLIMIN MUHAMMADIYAH YOGYAKARTA </v>
      </c>
      <c r="U318" s="22" t="str">
        <f>IFERROR(VLOOKUP(Table11[[#This Row],[Nama]],'[1]TABEL BEASISWA'!$B$4:$D$202,2,FALSE),"TIDAK")</f>
        <v>YA</v>
      </c>
      <c r="V318" s="83" t="str">
        <f>IFERROR(VLOOKUP(Table11[[#This Row],[Nama]],'[1]TABEL BEASISWA'!$B$4:$D$202,3,FALSE),"Tidak ada")</f>
        <v>Solo</v>
      </c>
      <c r="W318" s="24" t="str">
        <f>IFERROR(VLOOKUP(Table11[[#This Row],[Nama]],'[1]TABEL BEASISWA'!$B$4:$E$202,4,FALSE)," ")</f>
        <v>Angkatan 5</v>
      </c>
      <c r="X318" s="91" t="s">
        <v>1528</v>
      </c>
      <c r="Y318" s="96" t="s">
        <v>1529</v>
      </c>
      <c r="Z318" s="96" t="s">
        <v>1582</v>
      </c>
      <c r="AA318" s="97">
        <v>45936</v>
      </c>
      <c r="AB318" s="91" t="s">
        <v>1531</v>
      </c>
      <c r="AC318" s="130">
        <v>1001001</v>
      </c>
      <c r="AD318" s="130">
        <v>340212</v>
      </c>
      <c r="AE318" s="130">
        <v>3402122008</v>
      </c>
      <c r="AF318" s="130" t="s">
        <v>2347</v>
      </c>
    </row>
    <row r="319" spans="1:32" ht="42">
      <c r="A319" s="76">
        <f t="shared" si="11"/>
        <v>318</v>
      </c>
      <c r="B319" s="99">
        <v>2230125319</v>
      </c>
      <c r="C319" s="101" t="s">
        <v>2191</v>
      </c>
      <c r="D319" s="100" t="s">
        <v>2192</v>
      </c>
      <c r="E319" s="101" t="s">
        <v>2193</v>
      </c>
      <c r="F319" s="99" t="s">
        <v>67</v>
      </c>
      <c r="G319" s="101" t="s">
        <v>2194</v>
      </c>
      <c r="H319" s="101" t="s">
        <v>2188</v>
      </c>
      <c r="I319" s="138">
        <v>36868</v>
      </c>
      <c r="J319" s="99" t="s">
        <v>35</v>
      </c>
      <c r="K319" s="90" t="e">
        <f>PROPER(#REF!)</f>
        <v>#REF!</v>
      </c>
      <c r="L319" s="99">
        <v>7</v>
      </c>
      <c r="M319" s="99">
        <v>0</v>
      </c>
      <c r="N319" s="101" t="s">
        <v>2189</v>
      </c>
      <c r="O319" s="101" t="s">
        <v>2189</v>
      </c>
      <c r="P319" s="101" t="s">
        <v>2190</v>
      </c>
      <c r="Q319" s="99">
        <v>55194</v>
      </c>
      <c r="R319" s="22"/>
      <c r="S319" s="108" t="s">
        <v>2050</v>
      </c>
      <c r="T319" s="21" t="str">
        <f>VLOOKUP(C319,'[1]TABEL SMA'!$C$8:$D$343,2,0)</f>
        <v xml:space="preserve">SMA MUHAMMADIYAH 2 YOGYAKARTA </v>
      </c>
      <c r="U319" s="22" t="str">
        <f>IFERROR(VLOOKUP(Table11[[#This Row],[Nama]],'[1]TABEL BEASISWA'!$B$4:$D$202,2,FALSE),"TIDAK")</f>
        <v>YA</v>
      </c>
      <c r="V319" s="83" t="str">
        <f>IFERROR(VLOOKUP(Table11[[#This Row],[Nama]],'[1]TABEL BEASISWA'!$B$4:$D$202,3,FALSE),"Tidak ada")</f>
        <v>Solo</v>
      </c>
      <c r="W319" s="24" t="str">
        <f>IFERROR(VLOOKUP(Table11[[#This Row],[Nama]],'[1]TABEL BEASISWA'!$B$4:$E$202,4,FALSE)," ")</f>
        <v>Angkatan 5</v>
      </c>
      <c r="X319" s="91" t="s">
        <v>1528</v>
      </c>
      <c r="Y319" s="96" t="s">
        <v>1529</v>
      </c>
      <c r="Z319" s="96" t="s">
        <v>1582</v>
      </c>
      <c r="AA319" s="97">
        <v>45936</v>
      </c>
      <c r="AB319" s="91" t="s">
        <v>1531</v>
      </c>
      <c r="AC319" s="130">
        <v>1001001</v>
      </c>
      <c r="AD319" s="130">
        <v>340212</v>
      </c>
      <c r="AE319" s="130">
        <v>3402122008</v>
      </c>
      <c r="AF319" s="130" t="s">
        <v>2347</v>
      </c>
    </row>
    <row r="320" spans="1:32" ht="28">
      <c r="A320" s="76">
        <f t="shared" si="11"/>
        <v>319</v>
      </c>
      <c r="B320" s="87" t="s">
        <v>2195</v>
      </c>
      <c r="C320" s="89" t="s">
        <v>2196</v>
      </c>
      <c r="D320" s="89" t="s">
        <v>2197</v>
      </c>
      <c r="E320" s="89" t="s">
        <v>2198</v>
      </c>
      <c r="F320" s="87" t="s">
        <v>67</v>
      </c>
      <c r="G320" s="89" t="s">
        <v>2199</v>
      </c>
      <c r="H320" s="89" t="s">
        <v>58</v>
      </c>
      <c r="I320" s="137" t="s">
        <v>2200</v>
      </c>
      <c r="J320" s="87" t="s">
        <v>35</v>
      </c>
      <c r="K320" s="90" t="e">
        <f>PROPER(#REF!)</f>
        <v>#REF!</v>
      </c>
      <c r="L320" s="87">
        <v>6</v>
      </c>
      <c r="M320" s="87">
        <v>7</v>
      </c>
      <c r="N320" s="89" t="s">
        <v>2201</v>
      </c>
      <c r="O320" s="89" t="s">
        <v>2201</v>
      </c>
      <c r="P320" s="89" t="s">
        <v>2003</v>
      </c>
      <c r="Q320" s="87" t="s">
        <v>2202</v>
      </c>
      <c r="R320" s="22"/>
      <c r="S320" s="108" t="s">
        <v>458</v>
      </c>
      <c r="T320" s="21" t="str">
        <f>VLOOKUP(C320,'[1]TABEL SMA'!$C$8:$D$343,2,0)</f>
        <v>SMA NEGERI 13 DEPOK</v>
      </c>
      <c r="U320" s="22" t="str">
        <f>IFERROR(VLOOKUP(Table11[[#This Row],[Nama]],'[1]TABEL BEASISWA'!$B$4:$D$202,2,FALSE),"TIDAK")</f>
        <v>TIDAK</v>
      </c>
      <c r="V320" s="83" t="str">
        <f>IFERROR(VLOOKUP(Table11[[#This Row],[Nama]],'[1]TABEL BEASISWA'!$B$4:$D$202,3,FALSE),"Tidak ada")</f>
        <v>Tidak ada</v>
      </c>
      <c r="W320" s="24" t="str">
        <f>IFERROR(VLOOKUP(Table11[[#This Row],[Nama]],'[1]TABEL BEASISWA'!$B$4:$E$202,4,FALSE)," ")</f>
        <v xml:space="preserve"> </v>
      </c>
      <c r="X320" s="91" t="s">
        <v>1528</v>
      </c>
      <c r="Y320" s="91" t="s">
        <v>1529</v>
      </c>
      <c r="Z320" s="96" t="s">
        <v>1582</v>
      </c>
      <c r="AA320" s="97">
        <v>45936</v>
      </c>
      <c r="AB320" s="91" t="s">
        <v>1531</v>
      </c>
      <c r="AC320" s="130">
        <v>1001001</v>
      </c>
      <c r="AD320" s="130">
        <v>327602</v>
      </c>
      <c r="AE320" s="130">
        <v>3276021012</v>
      </c>
      <c r="AF320" s="130" t="s">
        <v>2348</v>
      </c>
    </row>
    <row r="321" spans="1:32" ht="28">
      <c r="A321" s="76">
        <f t="shared" si="11"/>
        <v>320</v>
      </c>
      <c r="B321" s="99" t="s">
        <v>2203</v>
      </c>
      <c r="C321" s="101" t="s">
        <v>2204</v>
      </c>
      <c r="D321" s="101" t="s">
        <v>2205</v>
      </c>
      <c r="E321" s="101" t="s">
        <v>2206</v>
      </c>
      <c r="F321" s="99" t="s">
        <v>32</v>
      </c>
      <c r="G321" s="101" t="s">
        <v>2207</v>
      </c>
      <c r="H321" s="101" t="s">
        <v>58</v>
      </c>
      <c r="I321" s="138" t="s">
        <v>2208</v>
      </c>
      <c r="J321" s="99" t="s">
        <v>35</v>
      </c>
      <c r="K321" s="90" t="e">
        <f>PROPER(#REF!)</f>
        <v>#REF!</v>
      </c>
      <c r="L321" s="99">
        <v>14</v>
      </c>
      <c r="M321" s="99">
        <v>9</v>
      </c>
      <c r="N321" s="101" t="s">
        <v>1629</v>
      </c>
      <c r="O321" s="101" t="s">
        <v>1629</v>
      </c>
      <c r="P321" s="101" t="s">
        <v>1011</v>
      </c>
      <c r="Q321" s="99">
        <v>12620</v>
      </c>
      <c r="R321" s="22"/>
      <c r="S321" s="108" t="s">
        <v>365</v>
      </c>
      <c r="T321" s="21" t="str">
        <f>VLOOKUP(C321,'[1]TABEL SMA'!$C$8:$D$343,2,0)</f>
        <v>SMA NEGERI 97 JAKARTA</v>
      </c>
      <c r="U321" s="22" t="str">
        <f>IFERROR(VLOOKUP(Table11[[#This Row],[Nama]],'[1]TABEL BEASISWA'!$B$4:$D$202,2,FALSE),"TIDAK")</f>
        <v>TIDAK</v>
      </c>
      <c r="V321" s="83" t="str">
        <f>IFERROR(VLOOKUP(Table11[[#This Row],[Nama]],'[1]TABEL BEASISWA'!$B$4:$D$202,3,FALSE),"Tidak ada")</f>
        <v>Tidak ada</v>
      </c>
      <c r="W321" s="24" t="str">
        <f>IFERROR(VLOOKUP(Table11[[#This Row],[Nama]],'[1]TABEL BEASISWA'!$B$4:$E$202,4,FALSE)," ")</f>
        <v xml:space="preserve"> </v>
      </c>
      <c r="X321" s="91" t="s">
        <v>1528</v>
      </c>
      <c r="Y321" s="91" t="s">
        <v>1540</v>
      </c>
      <c r="Z321" s="96" t="s">
        <v>1530</v>
      </c>
      <c r="AA321" s="97">
        <v>45936</v>
      </c>
      <c r="AB321" s="91" t="s">
        <v>1919</v>
      </c>
      <c r="AC321" s="130">
        <v>1001001</v>
      </c>
      <c r="AD321" s="130">
        <v>317409</v>
      </c>
      <c r="AE321" s="130">
        <v>3174091002</v>
      </c>
      <c r="AF321" s="130" t="s">
        <v>2347</v>
      </c>
    </row>
    <row r="322" spans="1:32" ht="42">
      <c r="A322" s="76">
        <f t="shared" si="11"/>
        <v>321</v>
      </c>
      <c r="B322" s="113">
        <v>2230125320</v>
      </c>
      <c r="C322" s="114" t="s">
        <v>2209</v>
      </c>
      <c r="D322" s="115" t="s">
        <v>2210</v>
      </c>
      <c r="E322" s="116" t="s">
        <v>2211</v>
      </c>
      <c r="F322" s="117" t="s">
        <v>32</v>
      </c>
      <c r="G322" s="115" t="s">
        <v>2212</v>
      </c>
      <c r="H322" s="116" t="s">
        <v>104</v>
      </c>
      <c r="I322" s="139">
        <v>28459</v>
      </c>
      <c r="J322" s="116" t="s">
        <v>35</v>
      </c>
      <c r="K322" s="90" t="e">
        <f>PROPER(#REF!)</f>
        <v>#REF!</v>
      </c>
      <c r="L322" s="113">
        <v>8</v>
      </c>
      <c r="M322" s="113">
        <v>4</v>
      </c>
      <c r="N322" s="115" t="s">
        <v>2213</v>
      </c>
      <c r="O322" s="115" t="s">
        <v>2213</v>
      </c>
      <c r="P322" s="115" t="s">
        <v>2214</v>
      </c>
      <c r="Q322" s="113">
        <v>13880</v>
      </c>
      <c r="R322" s="22"/>
      <c r="S322" s="18" t="s">
        <v>2215</v>
      </c>
      <c r="T322" s="21" t="str">
        <f>VLOOKUP(C322,'[1]TABEL SMA'!$C$8:$D$343,2,0)</f>
        <v>SMAN 6 UJUNG PANDANG / MAKASSAR</v>
      </c>
      <c r="U322" s="22" t="str">
        <f>IFERROR(VLOOKUP(Table11[[#This Row],[Nama]],'[1]TABEL BEASISWA'!$B$4:$D$202,2,FALSE),"TIDAK")</f>
        <v>YA</v>
      </c>
      <c r="V322" s="83" t="str">
        <f>IFERROR(VLOOKUP(Table11[[#This Row],[Nama]],'[1]TABEL BEASISWA'!$B$4:$D$202,3,FALSE),"Tidak ada")</f>
        <v>Beasiswa</v>
      </c>
      <c r="W322" s="24" t="str">
        <f>IFERROR(VLOOKUP(Table11[[#This Row],[Nama]],'[1]TABEL BEASISWA'!$B$4:$E$202,4,FALSE)," ")</f>
        <v>Angkatan 5</v>
      </c>
      <c r="X322" s="118" t="s">
        <v>1528</v>
      </c>
      <c r="Y322" s="32" t="s">
        <v>1529</v>
      </c>
      <c r="Z322" s="32" t="s">
        <v>1582</v>
      </c>
      <c r="AA322" s="97">
        <v>45936</v>
      </c>
      <c r="AB322" s="118" t="s">
        <v>1531</v>
      </c>
      <c r="AC322" s="130">
        <v>1001001</v>
      </c>
      <c r="AD322" s="130"/>
      <c r="AE322" s="130"/>
      <c r="AF322" s="130" t="s">
        <v>2348</v>
      </c>
    </row>
    <row r="323" spans="1:32" ht="42">
      <c r="A323" s="76">
        <f t="shared" si="11"/>
        <v>322</v>
      </c>
      <c r="B323" s="119">
        <v>2230125342</v>
      </c>
      <c r="C323" s="120" t="s">
        <v>2216</v>
      </c>
      <c r="D323" s="121" t="s">
        <v>2217</v>
      </c>
      <c r="E323" s="122" t="s">
        <v>2218</v>
      </c>
      <c r="F323" s="123" t="s">
        <v>32</v>
      </c>
      <c r="G323" s="121" t="s">
        <v>2219</v>
      </c>
      <c r="H323" s="122" t="s">
        <v>2220</v>
      </c>
      <c r="I323" s="140">
        <v>37650</v>
      </c>
      <c r="J323" s="122" t="s">
        <v>1368</v>
      </c>
      <c r="K323" s="90" t="e">
        <f>PROPER(#REF!)</f>
        <v>#REF!</v>
      </c>
      <c r="L323" s="119">
        <v>4</v>
      </c>
      <c r="M323" s="119">
        <v>7</v>
      </c>
      <c r="N323" s="121" t="s">
        <v>2221</v>
      </c>
      <c r="O323" s="121" t="s">
        <v>2221</v>
      </c>
      <c r="P323" s="121" t="s">
        <v>145</v>
      </c>
      <c r="Q323" s="119">
        <v>12240</v>
      </c>
      <c r="R323" s="22"/>
      <c r="S323" s="18" t="s">
        <v>2215</v>
      </c>
      <c r="T323" s="21" t="str">
        <f>VLOOKUP(C323,'[1]TABEL SMA'!$C$8:$D$343,2,0)</f>
        <v>SMA KATOLIK SANTO YOSEPH LUWUK</v>
      </c>
      <c r="U323" s="22" t="str">
        <f>IFERROR(VLOOKUP(Table11[[#This Row],[Nama]],'[1]TABEL BEASISWA'!$B$4:$D$202,2,FALSE),"TIDAK")</f>
        <v>YA</v>
      </c>
      <c r="V323" s="83" t="str">
        <f>IFERROR(VLOOKUP(Table11[[#This Row],[Nama]],'[1]TABEL BEASISWA'!$B$4:$D$202,3,FALSE),"Tidak ada")</f>
        <v>Beasiswa</v>
      </c>
      <c r="W323" s="24" t="str">
        <f>IFERROR(VLOOKUP(Table11[[#This Row],[Nama]],'[1]TABEL BEASISWA'!$B$4:$E$202,4,FALSE)," ")</f>
        <v>Angkatan 5</v>
      </c>
      <c r="X323" s="118" t="s">
        <v>1528</v>
      </c>
      <c r="Y323" s="32" t="s">
        <v>1529</v>
      </c>
      <c r="Z323" s="32" t="s">
        <v>1582</v>
      </c>
      <c r="AA323" s="97">
        <v>45936</v>
      </c>
      <c r="AB323" s="118" t="s">
        <v>1531</v>
      </c>
      <c r="AC323" s="130">
        <v>1001002</v>
      </c>
      <c r="AD323" s="130">
        <v>317405</v>
      </c>
      <c r="AE323" s="130">
        <v>3174051006</v>
      </c>
      <c r="AF323" s="130" t="s">
        <v>2348</v>
      </c>
    </row>
    <row r="324" spans="1:32">
      <c r="A324" s="76">
        <f t="shared" si="11"/>
        <v>323</v>
      </c>
      <c r="B324" s="113">
        <v>2230125321</v>
      </c>
      <c r="C324" s="114" t="s">
        <v>2222</v>
      </c>
      <c r="D324" s="115" t="s">
        <v>2223</v>
      </c>
      <c r="E324" s="116" t="s">
        <v>2224</v>
      </c>
      <c r="F324" s="117" t="s">
        <v>32</v>
      </c>
      <c r="G324" s="115" t="s">
        <v>2225</v>
      </c>
      <c r="H324" s="116" t="s">
        <v>2226</v>
      </c>
      <c r="I324" s="139">
        <v>31134</v>
      </c>
      <c r="J324" s="116" t="s">
        <v>35</v>
      </c>
      <c r="K324" s="90" t="e">
        <f>PROPER(#REF!)</f>
        <v>#REF!</v>
      </c>
      <c r="L324" s="113">
        <v>8</v>
      </c>
      <c r="M324" s="113">
        <v>5</v>
      </c>
      <c r="N324" s="115" t="s">
        <v>2227</v>
      </c>
      <c r="O324" s="115" t="s">
        <v>2227</v>
      </c>
      <c r="P324" s="115" t="s">
        <v>1018</v>
      </c>
      <c r="Q324" s="113">
        <v>13450</v>
      </c>
      <c r="R324" s="22"/>
      <c r="S324" s="18" t="s">
        <v>2215</v>
      </c>
      <c r="T324" s="21" t="str">
        <f>VLOOKUP(C324,'[1]TABEL SMA'!$C$8:$D$343,2,0)</f>
        <v>SMTI MAKASAR</v>
      </c>
      <c r="U324" s="22" t="str">
        <f>IFERROR(VLOOKUP(Table11[[#This Row],[Nama]],'[1]TABEL BEASISWA'!$B$4:$D$202,2,FALSE),"TIDAK")</f>
        <v>YA</v>
      </c>
      <c r="V324" s="83" t="str">
        <f>IFERROR(VLOOKUP(Table11[[#This Row],[Nama]],'[1]TABEL BEASISWA'!$B$4:$D$202,3,FALSE),"Tidak ada")</f>
        <v>Beasiswa</v>
      </c>
      <c r="W324" s="24" t="str">
        <f>IFERROR(VLOOKUP(Table11[[#This Row],[Nama]],'[1]TABEL BEASISWA'!$B$4:$E$202,4,FALSE)," ")</f>
        <v>Angkatan 5</v>
      </c>
      <c r="X324" s="118" t="s">
        <v>1528</v>
      </c>
      <c r="Y324" s="32" t="s">
        <v>1529</v>
      </c>
      <c r="Z324" s="32" t="s">
        <v>1582</v>
      </c>
      <c r="AA324" s="97">
        <v>45936</v>
      </c>
      <c r="AB324" s="118" t="s">
        <v>1531</v>
      </c>
      <c r="AC324" s="130">
        <v>1001001</v>
      </c>
      <c r="AD324" s="130">
        <v>317507</v>
      </c>
      <c r="AE324" s="130">
        <v>3175071004</v>
      </c>
      <c r="AF324" s="130" t="s">
        <v>2348</v>
      </c>
    </row>
    <row r="325" spans="1:32" ht="42">
      <c r="A325" s="76">
        <f t="shared" si="11"/>
        <v>324</v>
      </c>
      <c r="B325" s="119">
        <v>2230125320</v>
      </c>
      <c r="C325" s="120" t="s">
        <v>2228</v>
      </c>
      <c r="D325" s="121" t="s">
        <v>2229</v>
      </c>
      <c r="E325" s="122">
        <v>9968894955</v>
      </c>
      <c r="F325" s="123" t="s">
        <v>67</v>
      </c>
      <c r="G325" s="121" t="s">
        <v>2230</v>
      </c>
      <c r="H325" s="122" t="s">
        <v>213</v>
      </c>
      <c r="I325" s="140">
        <v>35319</v>
      </c>
      <c r="J325" s="122" t="s">
        <v>35</v>
      </c>
      <c r="K325" s="90" t="e">
        <f>PROPER(#REF!)</f>
        <v>#REF!</v>
      </c>
      <c r="L325" s="119">
        <v>5</v>
      </c>
      <c r="M325" s="119">
        <v>8</v>
      </c>
      <c r="N325" s="121" t="s">
        <v>2126</v>
      </c>
      <c r="O325" s="121" t="s">
        <v>2126</v>
      </c>
      <c r="P325" s="121" t="s">
        <v>574</v>
      </c>
      <c r="Q325" s="119">
        <v>13730</v>
      </c>
      <c r="R325" s="22"/>
      <c r="S325" s="18" t="s">
        <v>2215</v>
      </c>
      <c r="T325" s="21" t="str">
        <f>VLOOKUP(C325,'[1]TABEL SMA'!$C$8:$D$343,2,0)</f>
        <v>SMA SWASTA DHARMAWANGSA MEDAN</v>
      </c>
      <c r="U325" s="22" t="str">
        <f>IFERROR(VLOOKUP(Table11[[#This Row],[Nama]],'[1]TABEL BEASISWA'!$B$4:$D$202,2,FALSE),"TIDAK")</f>
        <v>YA</v>
      </c>
      <c r="V325" s="83" t="str">
        <f>IFERROR(VLOOKUP(Table11[[#This Row],[Nama]],'[1]TABEL BEASISWA'!$B$4:$D$202,3,FALSE),"Tidak ada")</f>
        <v>Beasiswa</v>
      </c>
      <c r="W325" s="24" t="str">
        <f>IFERROR(VLOOKUP(Table11[[#This Row],[Nama]],'[1]TABEL BEASISWA'!$B$4:$E$202,4,FALSE)," ")</f>
        <v>Angkatan 5</v>
      </c>
      <c r="X325" s="118" t="s">
        <v>1528</v>
      </c>
      <c r="Y325" s="32" t="s">
        <v>1529</v>
      </c>
      <c r="Z325" s="32" t="s">
        <v>1582</v>
      </c>
      <c r="AA325" s="97">
        <v>45936</v>
      </c>
      <c r="AB325" s="118" t="s">
        <v>1531</v>
      </c>
      <c r="AC325" s="130">
        <v>1001001</v>
      </c>
      <c r="AD325" s="130">
        <v>317509</v>
      </c>
      <c r="AE325" s="130">
        <v>3175091003</v>
      </c>
      <c r="AF325" s="130" t="s">
        <v>2348</v>
      </c>
    </row>
    <row r="326" spans="1:32" ht="28">
      <c r="A326" s="76">
        <f t="shared" ref="A326:A341" si="12">A325+1</f>
        <v>325</v>
      </c>
      <c r="B326" s="113">
        <v>2230125323</v>
      </c>
      <c r="C326" s="114" t="s">
        <v>2231</v>
      </c>
      <c r="D326" s="115" t="s">
        <v>2232</v>
      </c>
      <c r="E326" s="115" t="s">
        <v>2233</v>
      </c>
      <c r="F326" s="117" t="s">
        <v>32</v>
      </c>
      <c r="G326" s="115" t="s">
        <v>2234</v>
      </c>
      <c r="H326" s="115" t="s">
        <v>114</v>
      </c>
      <c r="I326" s="141">
        <v>34941</v>
      </c>
      <c r="J326" s="115" t="s">
        <v>35</v>
      </c>
      <c r="K326" s="90" t="e">
        <f>PROPER(#REF!)</f>
        <v>#REF!</v>
      </c>
      <c r="L326" s="113">
        <v>4</v>
      </c>
      <c r="M326" s="113">
        <v>10</v>
      </c>
      <c r="N326" s="115" t="s">
        <v>2235</v>
      </c>
      <c r="O326" s="115" t="s">
        <v>1730</v>
      </c>
      <c r="P326" s="115" t="s">
        <v>1011</v>
      </c>
      <c r="Q326" s="113">
        <v>12610</v>
      </c>
      <c r="R326" s="22"/>
      <c r="S326" s="18" t="s">
        <v>2215</v>
      </c>
      <c r="T326" s="21" t="str">
        <f>VLOOKUP(C326,'[1]TABEL SMA'!$C$8:$D$343,2,0)</f>
        <v>SMA NEGERI 2 SUBANG</v>
      </c>
      <c r="U326" s="22" t="str">
        <f>IFERROR(VLOOKUP(Table11[[#This Row],[Nama]],'[1]TABEL BEASISWA'!$B$4:$D$202,2,FALSE),"TIDAK")</f>
        <v>YA</v>
      </c>
      <c r="V326" s="83" t="str">
        <f>IFERROR(VLOOKUP(Table11[[#This Row],[Nama]],'[1]TABEL BEASISWA'!$B$4:$D$202,3,FALSE),"Tidak ada")</f>
        <v>Beasiswa</v>
      </c>
      <c r="W326" s="24" t="str">
        <f>IFERROR(VLOOKUP(Table11[[#This Row],[Nama]],'[1]TABEL BEASISWA'!$B$4:$E$202,4,FALSE)," ")</f>
        <v>Angkatan 5</v>
      </c>
      <c r="X326" s="118" t="s">
        <v>1528</v>
      </c>
      <c r="Y326" s="32" t="s">
        <v>1529</v>
      </c>
      <c r="Z326" s="32" t="s">
        <v>1582</v>
      </c>
      <c r="AA326" s="97">
        <v>45936</v>
      </c>
      <c r="AB326" s="118" t="s">
        <v>1531</v>
      </c>
      <c r="AC326" s="130">
        <v>1001001</v>
      </c>
      <c r="AD326" s="130">
        <v>317409</v>
      </c>
      <c r="AE326" s="130">
        <v>3174091004</v>
      </c>
      <c r="AF326" s="130" t="s">
        <v>2348</v>
      </c>
    </row>
    <row r="327" spans="1:32" ht="28">
      <c r="A327" s="76">
        <f t="shared" si="12"/>
        <v>326</v>
      </c>
      <c r="B327" s="119">
        <v>2230125326</v>
      </c>
      <c r="C327" s="120" t="s">
        <v>2236</v>
      </c>
      <c r="D327" s="121" t="s">
        <v>2237</v>
      </c>
      <c r="E327" s="121">
        <v>9972045985</v>
      </c>
      <c r="F327" s="123" t="s">
        <v>32</v>
      </c>
      <c r="G327" s="121" t="s">
        <v>2238</v>
      </c>
      <c r="H327" s="121" t="s">
        <v>2239</v>
      </c>
      <c r="I327" s="142">
        <v>35435</v>
      </c>
      <c r="J327" s="121" t="s">
        <v>35</v>
      </c>
      <c r="K327" s="90" t="e">
        <f>PROPER(#REF!)</f>
        <v>#REF!</v>
      </c>
      <c r="L327" s="119">
        <v>7</v>
      </c>
      <c r="M327" s="119">
        <v>8</v>
      </c>
      <c r="N327" s="121" t="s">
        <v>2240</v>
      </c>
      <c r="O327" s="121" t="s">
        <v>2240</v>
      </c>
      <c r="P327" s="121" t="s">
        <v>2239</v>
      </c>
      <c r="Q327" s="119">
        <v>53415</v>
      </c>
      <c r="R327" s="22"/>
      <c r="S327" s="18" t="s">
        <v>2215</v>
      </c>
      <c r="T327" s="21" t="str">
        <f>VLOOKUP(C327,'[1]TABEL SMA'!$C$8:$D$343,2,0)</f>
        <v>SMA NEGERI 1 BANJARNEGARA</v>
      </c>
      <c r="U327" s="22" t="str">
        <f>IFERROR(VLOOKUP(Table11[[#This Row],[Nama]],'[1]TABEL BEASISWA'!$B$4:$D$202,2,FALSE),"TIDAK")</f>
        <v>YA</v>
      </c>
      <c r="V327" s="83" t="str">
        <f>IFERROR(VLOOKUP(Table11[[#This Row],[Nama]],'[1]TABEL BEASISWA'!$B$4:$D$202,3,FALSE),"Tidak ada")</f>
        <v>Beasiswa</v>
      </c>
      <c r="W327" s="24" t="str">
        <f>IFERROR(VLOOKUP(Table11[[#This Row],[Nama]],'[1]TABEL BEASISWA'!$B$4:$E$202,4,FALSE)," ")</f>
        <v>Angkatan 5</v>
      </c>
      <c r="X327" s="118" t="s">
        <v>1528</v>
      </c>
      <c r="Y327" s="32" t="s">
        <v>1529</v>
      </c>
      <c r="Z327" s="32" t="s">
        <v>1582</v>
      </c>
      <c r="AA327" s="97">
        <v>45936</v>
      </c>
      <c r="AB327" s="118" t="s">
        <v>1531</v>
      </c>
      <c r="AC327" s="130">
        <v>1001001</v>
      </c>
      <c r="AD327" s="130">
        <v>330406</v>
      </c>
      <c r="AE327" s="130">
        <v>3304061013</v>
      </c>
      <c r="AF327" s="130" t="s">
        <v>2348</v>
      </c>
    </row>
    <row r="328" spans="1:32" ht="28">
      <c r="A328" s="76">
        <f t="shared" si="12"/>
        <v>327</v>
      </c>
      <c r="B328" s="113">
        <v>2230125327</v>
      </c>
      <c r="C328" s="114" t="s">
        <v>2241</v>
      </c>
      <c r="D328" s="115" t="s">
        <v>2242</v>
      </c>
      <c r="E328" s="115" t="s">
        <v>2243</v>
      </c>
      <c r="F328" s="117" t="s">
        <v>32</v>
      </c>
      <c r="G328" s="115" t="s">
        <v>2244</v>
      </c>
      <c r="H328" s="115" t="s">
        <v>34</v>
      </c>
      <c r="I328" s="141">
        <v>31809</v>
      </c>
      <c r="J328" s="115" t="s">
        <v>35</v>
      </c>
      <c r="K328" s="90" t="e">
        <f>PROPER(#REF!)</f>
        <v>#REF!</v>
      </c>
      <c r="L328" s="113">
        <v>10</v>
      </c>
      <c r="M328" s="113">
        <v>2</v>
      </c>
      <c r="N328" s="115" t="s">
        <v>2245</v>
      </c>
      <c r="O328" s="115" t="s">
        <v>611</v>
      </c>
      <c r="P328" s="115" t="s">
        <v>612</v>
      </c>
      <c r="Q328" s="113">
        <v>13790</v>
      </c>
      <c r="R328" s="22"/>
      <c r="S328" s="18" t="s">
        <v>2215</v>
      </c>
      <c r="T328" s="21" t="str">
        <f>VLOOKUP(C328,'[1]TABEL SMA'!$C$8:$D$343,2,0)</f>
        <v>SMA PKP DKI JAKARTA</v>
      </c>
      <c r="U328" s="22" t="str">
        <f>IFERROR(VLOOKUP(Table11[[#This Row],[Nama]],'[1]TABEL BEASISWA'!$B$4:$D$202,2,FALSE),"TIDAK")</f>
        <v>YA</v>
      </c>
      <c r="V328" s="83" t="str">
        <f>IFERROR(VLOOKUP(Table11[[#This Row],[Nama]],'[1]TABEL BEASISWA'!$B$4:$D$202,3,FALSE),"Tidak ada")</f>
        <v>Beasiswa</v>
      </c>
      <c r="W328" s="24" t="str">
        <f>IFERROR(VLOOKUP(Table11[[#This Row],[Nama]],'[1]TABEL BEASISWA'!$B$4:$E$202,4,FALSE)," ")</f>
        <v>Angkatan 5</v>
      </c>
      <c r="X328" s="118" t="s">
        <v>1528</v>
      </c>
      <c r="Y328" s="32" t="s">
        <v>1529</v>
      </c>
      <c r="Z328" s="32" t="s">
        <v>1582</v>
      </c>
      <c r="AA328" s="97">
        <v>45936</v>
      </c>
      <c r="AB328" s="118" t="s">
        <v>1531</v>
      </c>
      <c r="AC328" s="130">
        <v>1001001</v>
      </c>
      <c r="AD328" s="130">
        <v>317505</v>
      </c>
      <c r="AE328" s="130">
        <v>3175051005</v>
      </c>
      <c r="AF328" s="130" t="s">
        <v>2348</v>
      </c>
    </row>
    <row r="329" spans="1:32" ht="28">
      <c r="A329" s="76">
        <f t="shared" si="12"/>
        <v>328</v>
      </c>
      <c r="B329" s="119">
        <v>2230125324</v>
      </c>
      <c r="C329" s="120" t="s">
        <v>2246</v>
      </c>
      <c r="D329" s="121" t="s">
        <v>2247</v>
      </c>
      <c r="E329" s="121" t="s">
        <v>2248</v>
      </c>
      <c r="F329" s="123" t="s">
        <v>67</v>
      </c>
      <c r="G329" s="121" t="s">
        <v>2249</v>
      </c>
      <c r="H329" s="121" t="s">
        <v>213</v>
      </c>
      <c r="I329" s="142">
        <v>32622</v>
      </c>
      <c r="J329" s="121" t="s">
        <v>35</v>
      </c>
      <c r="K329" s="90" t="e">
        <f>PROPER(#REF!)</f>
        <v>#REF!</v>
      </c>
      <c r="L329" s="119">
        <v>9</v>
      </c>
      <c r="M329" s="119">
        <v>8</v>
      </c>
      <c r="N329" s="121" t="s">
        <v>2250</v>
      </c>
      <c r="O329" s="121" t="s">
        <v>2250</v>
      </c>
      <c r="P329" s="121" t="s">
        <v>1877</v>
      </c>
      <c r="Q329" s="119">
        <v>10160</v>
      </c>
      <c r="R329" s="22"/>
      <c r="S329" s="18" t="s">
        <v>2215</v>
      </c>
      <c r="T329" s="21" t="str">
        <f>VLOOKUP(C329,'[1]TABEL SMA'!$C$8:$D$343,2,0)</f>
        <v>SMA NEGERI 11 MEDAN</v>
      </c>
      <c r="U329" s="22" t="str">
        <f>IFERROR(VLOOKUP(Table11[[#This Row],[Nama]],'[1]TABEL BEASISWA'!$B$4:$D$202,2,FALSE),"TIDAK")</f>
        <v>YA</v>
      </c>
      <c r="V329" s="83" t="str">
        <f>IFERROR(VLOOKUP(Table11[[#This Row],[Nama]],'[1]TABEL BEASISWA'!$B$4:$D$202,3,FALSE),"Tidak ada")</f>
        <v>Beasiswa</v>
      </c>
      <c r="W329" s="24" t="str">
        <f>IFERROR(VLOOKUP(Table11[[#This Row],[Nama]],'[1]TABEL BEASISWA'!$B$4:$E$202,4,FALSE)," ")</f>
        <v>Angkatan 5</v>
      </c>
      <c r="X329" s="118" t="s">
        <v>1528</v>
      </c>
      <c r="Y329" s="32" t="s">
        <v>1529</v>
      </c>
      <c r="Z329" s="32" t="s">
        <v>1582</v>
      </c>
      <c r="AA329" s="97">
        <v>45936</v>
      </c>
      <c r="AB329" s="118" t="s">
        <v>1531</v>
      </c>
      <c r="AC329" s="130">
        <v>1001001</v>
      </c>
      <c r="AD329" s="130">
        <v>317101</v>
      </c>
      <c r="AE329" s="130">
        <v>3171011004</v>
      </c>
      <c r="AF329" s="130" t="s">
        <v>2348</v>
      </c>
    </row>
    <row r="330" spans="1:32" ht="28">
      <c r="A330" s="76">
        <f t="shared" si="12"/>
        <v>329</v>
      </c>
      <c r="B330" s="113">
        <v>2230125328</v>
      </c>
      <c r="C330" s="114" t="s">
        <v>2251</v>
      </c>
      <c r="D330" s="115" t="s">
        <v>2252</v>
      </c>
      <c r="E330" s="115" t="s">
        <v>2253</v>
      </c>
      <c r="F330" s="117" t="s">
        <v>32</v>
      </c>
      <c r="G330" s="115" t="s">
        <v>2254</v>
      </c>
      <c r="H330" s="115" t="s">
        <v>1209</v>
      </c>
      <c r="I330" s="141">
        <v>32948</v>
      </c>
      <c r="J330" s="115" t="s">
        <v>35</v>
      </c>
      <c r="K330" s="90" t="e">
        <f>PROPER(#REF!)</f>
        <v>#REF!</v>
      </c>
      <c r="L330" s="113">
        <v>3</v>
      </c>
      <c r="M330" s="113">
        <v>6</v>
      </c>
      <c r="N330" s="115" t="s">
        <v>2255</v>
      </c>
      <c r="O330" s="115" t="s">
        <v>2255</v>
      </c>
      <c r="P330" s="115" t="s">
        <v>2256</v>
      </c>
      <c r="Q330" s="113">
        <v>16136</v>
      </c>
      <c r="R330" s="22"/>
      <c r="S330" s="18" t="s">
        <v>2215</v>
      </c>
      <c r="T330" s="21" t="str">
        <f>VLOOKUP(C330,'[1]TABEL SMA'!$C$8:$D$343,2,0)</f>
        <v>SMA NEGERI 4 BOGOR</v>
      </c>
      <c r="U330" s="22" t="str">
        <f>IFERROR(VLOOKUP(Table11[[#This Row],[Nama]],'[1]TABEL BEASISWA'!$B$4:$D$202,2,FALSE),"TIDAK")</f>
        <v>YA</v>
      </c>
      <c r="V330" s="83" t="str">
        <f>IFERROR(VLOOKUP(Table11[[#This Row],[Nama]],'[1]TABEL BEASISWA'!$B$4:$D$202,3,FALSE),"Tidak ada")</f>
        <v>Beasiswa</v>
      </c>
      <c r="W330" s="24" t="str">
        <f>IFERROR(VLOOKUP(Table11[[#This Row],[Nama]],'[1]TABEL BEASISWA'!$B$4:$E$202,4,FALSE)," ")</f>
        <v>Angkatan 5</v>
      </c>
      <c r="X330" s="118" t="s">
        <v>1528</v>
      </c>
      <c r="Y330" s="32" t="s">
        <v>1529</v>
      </c>
      <c r="Z330" s="32" t="s">
        <v>1582</v>
      </c>
      <c r="AA330" s="97">
        <v>45936</v>
      </c>
      <c r="AB330" s="118" t="s">
        <v>1531</v>
      </c>
      <c r="AC330" s="130">
        <v>1001001</v>
      </c>
      <c r="AD330" s="130">
        <v>327101</v>
      </c>
      <c r="AE330" s="130">
        <v>3271011005</v>
      </c>
      <c r="AF330" s="130" t="s">
        <v>2348</v>
      </c>
    </row>
    <row r="331" spans="1:32" ht="28">
      <c r="A331" s="76">
        <f t="shared" si="12"/>
        <v>330</v>
      </c>
      <c r="B331" s="119">
        <v>2230125329</v>
      </c>
      <c r="C331" s="120" t="s">
        <v>2257</v>
      </c>
      <c r="D331" s="121" t="s">
        <v>2258</v>
      </c>
      <c r="E331" s="121" t="s">
        <v>2259</v>
      </c>
      <c r="F331" s="123" t="s">
        <v>32</v>
      </c>
      <c r="G331" s="121" t="s">
        <v>2260</v>
      </c>
      <c r="H331" s="121" t="s">
        <v>2153</v>
      </c>
      <c r="I331" s="142">
        <v>38499</v>
      </c>
      <c r="J331" s="121" t="s">
        <v>35</v>
      </c>
      <c r="K331" s="90" t="e">
        <f>PROPER(#REF!)</f>
        <v>#REF!</v>
      </c>
      <c r="L331" s="119">
        <v>7</v>
      </c>
      <c r="M331" s="119">
        <v>1</v>
      </c>
      <c r="N331" s="121" t="s">
        <v>2155</v>
      </c>
      <c r="O331" s="121" t="s">
        <v>2155</v>
      </c>
      <c r="P331" s="121" t="s">
        <v>2155</v>
      </c>
      <c r="Q331" s="119">
        <v>57131</v>
      </c>
      <c r="R331" s="22"/>
      <c r="S331" s="18" t="s">
        <v>2215</v>
      </c>
      <c r="T331" s="21" t="str">
        <f>VLOOKUP(C331,'[1]TABEL SMA'!$C$8:$D$343,2,0)</f>
        <v>SMA NERERI 6 SURAKARTA</v>
      </c>
      <c r="U331" s="22" t="str">
        <f>IFERROR(VLOOKUP(Table11[[#This Row],[Nama]],'[1]TABEL BEASISWA'!$B$4:$D$202,2,FALSE),"TIDAK")</f>
        <v>YA</v>
      </c>
      <c r="V331" s="83" t="str">
        <f>IFERROR(VLOOKUP(Table11[[#This Row],[Nama]],'[1]TABEL BEASISWA'!$B$4:$D$202,3,FALSE),"Tidak ada")</f>
        <v>Beasiswa</v>
      </c>
      <c r="W331" s="24" t="str">
        <f>IFERROR(VLOOKUP(Table11[[#This Row],[Nama]],'[1]TABEL BEASISWA'!$B$4:$E$202,4,FALSE)," ")</f>
        <v>Angkatan 5</v>
      </c>
      <c r="X331" s="118" t="s">
        <v>1528</v>
      </c>
      <c r="Y331" s="32" t="s">
        <v>1529</v>
      </c>
      <c r="Z331" s="32" t="s">
        <v>1582</v>
      </c>
      <c r="AA331" s="97">
        <v>45936</v>
      </c>
      <c r="AB331" s="118" t="s">
        <v>1531</v>
      </c>
      <c r="AC331" s="130">
        <v>1001001</v>
      </c>
      <c r="AD331" s="130">
        <v>360209</v>
      </c>
      <c r="AE331" s="130"/>
      <c r="AF331" s="130" t="s">
        <v>2348</v>
      </c>
    </row>
    <row r="332" spans="1:32" ht="28">
      <c r="A332" s="76">
        <f t="shared" si="12"/>
        <v>331</v>
      </c>
      <c r="B332" s="113">
        <v>2230125330</v>
      </c>
      <c r="C332" s="114" t="s">
        <v>2261</v>
      </c>
      <c r="D332" s="115" t="s">
        <v>2262</v>
      </c>
      <c r="E332" s="115" t="s">
        <v>2263</v>
      </c>
      <c r="F332" s="117" t="s">
        <v>32</v>
      </c>
      <c r="G332" s="115" t="s">
        <v>2264</v>
      </c>
      <c r="H332" s="115" t="s">
        <v>2265</v>
      </c>
      <c r="I332" s="141">
        <v>32728</v>
      </c>
      <c r="J332" s="115" t="s">
        <v>35</v>
      </c>
      <c r="K332" s="90" t="e">
        <f>PROPER(#REF!)</f>
        <v>#REF!</v>
      </c>
      <c r="L332" s="113">
        <v>6</v>
      </c>
      <c r="M332" s="113">
        <v>3</v>
      </c>
      <c r="N332" s="115" t="s">
        <v>2266</v>
      </c>
      <c r="O332" s="115" t="s">
        <v>2266</v>
      </c>
      <c r="P332" s="115" t="s">
        <v>2267</v>
      </c>
      <c r="Q332" s="113">
        <v>16473</v>
      </c>
      <c r="R332" s="22"/>
      <c r="S332" s="18" t="s">
        <v>2215</v>
      </c>
      <c r="T332" s="21" t="str">
        <f>VLOOKUP(C332,'[1]TABEL SMA'!$C$8:$D$343,2,0)</f>
        <v>SMA NEGERI 6 PURWOREJO</v>
      </c>
      <c r="U332" s="22" t="str">
        <f>IFERROR(VLOOKUP(Table11[[#This Row],[Nama]],'[1]TABEL BEASISWA'!$B$4:$D$202,2,FALSE),"TIDAK")</f>
        <v>YA</v>
      </c>
      <c r="V332" s="83" t="str">
        <f>IFERROR(VLOOKUP(Table11[[#This Row],[Nama]],'[1]TABEL BEASISWA'!$B$4:$D$202,3,FALSE),"Tidak ada")</f>
        <v>Beasiswa</v>
      </c>
      <c r="W332" s="24" t="str">
        <f>IFERROR(VLOOKUP(Table11[[#This Row],[Nama]],'[1]TABEL BEASISWA'!$B$4:$E$202,4,FALSE)," ")</f>
        <v>Angkatan 5</v>
      </c>
      <c r="X332" s="118" t="s">
        <v>1528</v>
      </c>
      <c r="Y332" s="32" t="s">
        <v>1529</v>
      </c>
      <c r="Z332" s="32" t="s">
        <v>1582</v>
      </c>
      <c r="AA332" s="97">
        <v>45936</v>
      </c>
      <c r="AB332" s="118" t="s">
        <v>1531</v>
      </c>
      <c r="AC332" s="130">
        <v>1001001</v>
      </c>
      <c r="AD332" s="130">
        <v>327608</v>
      </c>
      <c r="AE332" s="130">
        <v>3276081003</v>
      </c>
      <c r="AF332" s="130" t="s">
        <v>2348</v>
      </c>
    </row>
    <row r="333" spans="1:32">
      <c r="A333" s="76">
        <f t="shared" si="12"/>
        <v>332</v>
      </c>
      <c r="B333" s="119">
        <v>2230125331</v>
      </c>
      <c r="C333" s="120" t="s">
        <v>2268</v>
      </c>
      <c r="D333" s="121" t="s">
        <v>2269</v>
      </c>
      <c r="E333" s="121" t="s">
        <v>2270</v>
      </c>
      <c r="F333" s="123" t="s">
        <v>32</v>
      </c>
      <c r="G333" s="121" t="s">
        <v>2271</v>
      </c>
      <c r="H333" s="121" t="s">
        <v>2272</v>
      </c>
      <c r="I333" s="142">
        <v>30413</v>
      </c>
      <c r="J333" s="121" t="s">
        <v>35</v>
      </c>
      <c r="K333" s="90" t="e">
        <f>PROPER(#REF!)</f>
        <v>#REF!</v>
      </c>
      <c r="L333" s="119">
        <v>8</v>
      </c>
      <c r="M333" s="119">
        <v>7</v>
      </c>
      <c r="N333" s="121" t="s">
        <v>2273</v>
      </c>
      <c r="O333" s="121" t="s">
        <v>2273</v>
      </c>
      <c r="P333" s="121" t="s">
        <v>2213</v>
      </c>
      <c r="Q333" s="119">
        <v>17153</v>
      </c>
      <c r="R333" s="22"/>
      <c r="S333" s="18" t="s">
        <v>2215</v>
      </c>
      <c r="T333" s="21" t="str">
        <f>VLOOKUP(C333,'[1]TABEL SMA'!$C$8:$D$343,2,0)</f>
        <v>SMK NEGERI 2 PATI</v>
      </c>
      <c r="U333" s="22" t="str">
        <f>IFERROR(VLOOKUP(Table11[[#This Row],[Nama]],'[1]TABEL BEASISWA'!$B$4:$D$202,2,FALSE),"TIDAK")</f>
        <v>YA</v>
      </c>
      <c r="V333" s="83" t="str">
        <f>IFERROR(VLOOKUP(Table11[[#This Row],[Nama]],'[1]TABEL BEASISWA'!$B$4:$D$202,3,FALSE),"Tidak ada")</f>
        <v>Beasiswa</v>
      </c>
      <c r="W333" s="24" t="str">
        <f>IFERROR(VLOOKUP(Table11[[#This Row],[Nama]],'[1]TABEL BEASISWA'!$B$4:$E$202,4,FALSE)," ")</f>
        <v>Angkatan 5</v>
      </c>
      <c r="X333" s="118" t="s">
        <v>1528</v>
      </c>
      <c r="Y333" s="32" t="s">
        <v>1529</v>
      </c>
      <c r="Z333" s="32" t="s">
        <v>1582</v>
      </c>
      <c r="AA333" s="97">
        <v>45936</v>
      </c>
      <c r="AB333" s="118" t="s">
        <v>1531</v>
      </c>
      <c r="AC333" s="130">
        <v>1001001</v>
      </c>
      <c r="AD333" s="130">
        <v>367407</v>
      </c>
      <c r="AE333" s="130"/>
      <c r="AF333" s="130" t="s">
        <v>2348</v>
      </c>
    </row>
    <row r="334" spans="1:32" ht="28">
      <c r="A334" s="76">
        <f t="shared" si="12"/>
        <v>333</v>
      </c>
      <c r="B334" s="113">
        <v>2230125332</v>
      </c>
      <c r="C334" s="114" t="s">
        <v>2274</v>
      </c>
      <c r="D334" s="115" t="s">
        <v>2275</v>
      </c>
      <c r="E334" s="115" t="s">
        <v>2276</v>
      </c>
      <c r="F334" s="117" t="s">
        <v>32</v>
      </c>
      <c r="G334" s="115" t="s">
        <v>2277</v>
      </c>
      <c r="H334" s="115" t="s">
        <v>2278</v>
      </c>
      <c r="I334" s="141">
        <v>38049</v>
      </c>
      <c r="J334" s="115" t="s">
        <v>1190</v>
      </c>
      <c r="K334" s="90" t="e">
        <f>PROPER(#REF!)</f>
        <v>#REF!</v>
      </c>
      <c r="L334" s="113">
        <v>5</v>
      </c>
      <c r="M334" s="113">
        <v>3</v>
      </c>
      <c r="N334" s="115" t="s">
        <v>2279</v>
      </c>
      <c r="O334" s="115" t="s">
        <v>2279</v>
      </c>
      <c r="P334" s="115" t="s">
        <v>1159</v>
      </c>
      <c r="Q334" s="113">
        <v>13150</v>
      </c>
      <c r="R334" s="22"/>
      <c r="S334" s="18" t="s">
        <v>2215</v>
      </c>
      <c r="T334" s="21" t="str">
        <f>VLOOKUP(C334,'[1]TABEL SMA'!$C$8:$D$343,2,0)</f>
        <v>SMK NEGERI 3 MATARAM</v>
      </c>
      <c r="U334" s="22" t="str">
        <f>IFERROR(VLOOKUP(Table11[[#This Row],[Nama]],'[1]TABEL BEASISWA'!$B$4:$D$202,2,FALSE),"TIDAK")</f>
        <v>YA</v>
      </c>
      <c r="V334" s="83" t="str">
        <f>IFERROR(VLOOKUP(Table11[[#This Row],[Nama]],'[1]TABEL BEASISWA'!$B$4:$D$202,3,FALSE),"Tidak ada")</f>
        <v>Beasiswa</v>
      </c>
      <c r="W334" s="24" t="str">
        <f>IFERROR(VLOOKUP(Table11[[#This Row],[Nama]],'[1]TABEL BEASISWA'!$B$4:$E$202,4,FALSE)," ")</f>
        <v>Angkatan 5</v>
      </c>
      <c r="X334" s="118" t="s">
        <v>1528</v>
      </c>
      <c r="Y334" s="32" t="s">
        <v>1529</v>
      </c>
      <c r="Z334" s="32" t="s">
        <v>1582</v>
      </c>
      <c r="AA334" s="97">
        <v>45936</v>
      </c>
      <c r="AB334" s="118" t="s">
        <v>1531</v>
      </c>
      <c r="AC334" s="130">
        <v>1001004</v>
      </c>
      <c r="AD334" s="130">
        <v>317503</v>
      </c>
      <c r="AE334" s="130"/>
      <c r="AF334" s="130" t="s">
        <v>2348</v>
      </c>
    </row>
    <row r="335" spans="1:32" ht="28">
      <c r="A335" s="76">
        <f t="shared" si="12"/>
        <v>334</v>
      </c>
      <c r="B335" s="119">
        <v>2230125333</v>
      </c>
      <c r="C335" s="120" t="s">
        <v>2280</v>
      </c>
      <c r="D335" s="121" t="s">
        <v>2281</v>
      </c>
      <c r="E335" s="121" t="s">
        <v>2282</v>
      </c>
      <c r="F335" s="123" t="s">
        <v>32</v>
      </c>
      <c r="G335" s="121" t="s">
        <v>2283</v>
      </c>
      <c r="H335" s="121" t="s">
        <v>2047</v>
      </c>
      <c r="I335" s="142">
        <v>37366</v>
      </c>
      <c r="J335" s="121" t="s">
        <v>35</v>
      </c>
      <c r="K335" s="90" t="e">
        <f>PROPER(#REF!)</f>
        <v>#REF!</v>
      </c>
      <c r="L335" s="119">
        <v>5</v>
      </c>
      <c r="M335" s="119">
        <v>1</v>
      </c>
      <c r="N335" s="121" t="s">
        <v>2284</v>
      </c>
      <c r="O335" s="121" t="s">
        <v>2284</v>
      </c>
      <c r="P335" s="121" t="s">
        <v>2285</v>
      </c>
      <c r="Q335" s="119">
        <v>62361</v>
      </c>
      <c r="R335" s="22"/>
      <c r="S335" s="18" t="s">
        <v>2215</v>
      </c>
      <c r="T335" s="21" t="str">
        <f>VLOOKUP(C335,'[1]TABEL SMA'!$C$8:$D$343,2,0)</f>
        <v>SMA NEGERI 1 SINGGAHAN</v>
      </c>
      <c r="U335" s="22" t="str">
        <f>IFERROR(VLOOKUP(Table11[[#This Row],[Nama]],'[1]TABEL BEASISWA'!$B$4:$D$202,2,FALSE),"TIDAK")</f>
        <v>YA</v>
      </c>
      <c r="V335" s="83" t="str">
        <f>IFERROR(VLOOKUP(Table11[[#This Row],[Nama]],'[1]TABEL BEASISWA'!$B$4:$D$202,3,FALSE),"Tidak ada")</f>
        <v>Beasiswa</v>
      </c>
      <c r="W335" s="24" t="str">
        <f>IFERROR(VLOOKUP(Table11[[#This Row],[Nama]],'[1]TABEL BEASISWA'!$B$4:$E$202,4,FALSE)," ")</f>
        <v>Angkatan 5</v>
      </c>
      <c r="X335" s="118" t="s">
        <v>1528</v>
      </c>
      <c r="Y335" s="32" t="s">
        <v>1529</v>
      </c>
      <c r="Z335" s="32" t="s">
        <v>1582</v>
      </c>
      <c r="AA335" s="97">
        <v>45936</v>
      </c>
      <c r="AB335" s="118" t="s">
        <v>1531</v>
      </c>
      <c r="AC335" s="130">
        <v>1001001</v>
      </c>
      <c r="AD335" s="130">
        <v>352307</v>
      </c>
      <c r="AE335" s="130">
        <v>3523072012</v>
      </c>
      <c r="AF335" s="130" t="s">
        <v>2348</v>
      </c>
    </row>
    <row r="336" spans="1:32" ht="28">
      <c r="A336" s="76">
        <f t="shared" si="12"/>
        <v>335</v>
      </c>
      <c r="B336" s="113">
        <v>2230125334</v>
      </c>
      <c r="C336" s="114" t="s">
        <v>2286</v>
      </c>
      <c r="D336" s="115" t="s">
        <v>2287</v>
      </c>
      <c r="E336" s="115" t="s">
        <v>2288</v>
      </c>
      <c r="F336" s="117" t="s">
        <v>32</v>
      </c>
      <c r="G336" s="115" t="s">
        <v>2289</v>
      </c>
      <c r="H336" s="115" t="s">
        <v>1787</v>
      </c>
      <c r="I336" s="141">
        <v>30625</v>
      </c>
      <c r="J336" s="115" t="s">
        <v>35</v>
      </c>
      <c r="K336" s="90" t="e">
        <f>PROPER(#REF!)</f>
        <v>#REF!</v>
      </c>
      <c r="L336" s="113">
        <v>8</v>
      </c>
      <c r="M336" s="113">
        <v>16</v>
      </c>
      <c r="N336" s="115" t="s">
        <v>2290</v>
      </c>
      <c r="O336" s="115" t="s">
        <v>2290</v>
      </c>
      <c r="P336" s="115" t="s">
        <v>1011</v>
      </c>
      <c r="Q336" s="113">
        <v>12640</v>
      </c>
      <c r="R336" s="22"/>
      <c r="S336" s="18" t="s">
        <v>2215</v>
      </c>
      <c r="T336" s="21" t="str">
        <f>VLOOKUP(C336,'[1]TABEL SMA'!$C$8:$D$343,2,0)</f>
        <v>SMK PUI JATIBARANG</v>
      </c>
      <c r="U336" s="22" t="str">
        <f>IFERROR(VLOOKUP(Table11[[#This Row],[Nama]],'[1]TABEL BEASISWA'!$B$4:$D$202,2,FALSE),"TIDAK")</f>
        <v>YA</v>
      </c>
      <c r="V336" s="83" t="str">
        <f>IFERROR(VLOOKUP(Table11[[#This Row],[Nama]],'[1]TABEL BEASISWA'!$B$4:$D$202,3,FALSE),"Tidak ada")</f>
        <v>Beasiswa</v>
      </c>
      <c r="W336" s="24" t="str">
        <f>IFERROR(VLOOKUP(Table11[[#This Row],[Nama]],'[1]TABEL BEASISWA'!$B$4:$E$202,4,FALSE)," ")</f>
        <v>Angkatan 5</v>
      </c>
      <c r="X336" s="118" t="s">
        <v>1528</v>
      </c>
      <c r="Y336" s="32" t="s">
        <v>1529</v>
      </c>
      <c r="Z336" s="32" t="s">
        <v>1582</v>
      </c>
      <c r="AA336" s="97">
        <v>45936</v>
      </c>
      <c r="AB336" s="118" t="s">
        <v>1531</v>
      </c>
      <c r="AC336" s="130">
        <v>1001001</v>
      </c>
      <c r="AD336" s="130">
        <v>317409</v>
      </c>
      <c r="AE336" s="130">
        <v>3174091002</v>
      </c>
      <c r="AF336" s="130" t="s">
        <v>2348</v>
      </c>
    </row>
    <row r="337" spans="1:32" ht="28">
      <c r="A337" s="76">
        <f t="shared" si="12"/>
        <v>336</v>
      </c>
      <c r="B337" s="119">
        <v>2230125335</v>
      </c>
      <c r="C337" s="120" t="s">
        <v>2291</v>
      </c>
      <c r="D337" s="121" t="s">
        <v>2292</v>
      </c>
      <c r="E337" s="121" t="s">
        <v>2293</v>
      </c>
      <c r="F337" s="123" t="s">
        <v>32</v>
      </c>
      <c r="G337" s="121" t="s">
        <v>2294</v>
      </c>
      <c r="H337" s="121" t="s">
        <v>1330</v>
      </c>
      <c r="I337" s="142">
        <v>28305</v>
      </c>
      <c r="J337" s="121" t="s">
        <v>35</v>
      </c>
      <c r="K337" s="90" t="e">
        <f>PROPER(#REF!)</f>
        <v>#REF!</v>
      </c>
      <c r="L337" s="119">
        <v>1</v>
      </c>
      <c r="M337" s="119">
        <v>3</v>
      </c>
      <c r="N337" s="121" t="s">
        <v>2295</v>
      </c>
      <c r="O337" s="121" t="s">
        <v>2295</v>
      </c>
      <c r="P337" s="121" t="s">
        <v>2296</v>
      </c>
      <c r="Q337" s="119">
        <v>50264</v>
      </c>
      <c r="R337" s="22"/>
      <c r="S337" s="18" t="s">
        <v>2215</v>
      </c>
      <c r="T337" s="21" t="str">
        <f>VLOOKUP(C337,'[1]TABEL SMA'!$C$8:$D$343,2,0)</f>
        <v>STM SWASTA DWIJA PRAJA</v>
      </c>
      <c r="U337" s="22" t="str">
        <f>IFERROR(VLOOKUP(Table11[[#This Row],[Nama]],'[1]TABEL BEASISWA'!$B$4:$D$202,2,FALSE),"TIDAK")</f>
        <v>YA</v>
      </c>
      <c r="V337" s="83" t="str">
        <f>IFERROR(VLOOKUP(Table11[[#This Row],[Nama]],'[1]TABEL BEASISWA'!$B$4:$D$202,3,FALSE),"Tidak ada")</f>
        <v>Beasiswa</v>
      </c>
      <c r="W337" s="24" t="str">
        <f>IFERROR(VLOOKUP(Table11[[#This Row],[Nama]],'[1]TABEL BEASISWA'!$B$4:$E$202,4,FALSE)," ")</f>
        <v>Angkatan 5</v>
      </c>
      <c r="X337" s="118" t="s">
        <v>1528</v>
      </c>
      <c r="Y337" s="32" t="s">
        <v>1529</v>
      </c>
      <c r="Z337" s="32" t="s">
        <v>1582</v>
      </c>
      <c r="AA337" s="97">
        <v>45936</v>
      </c>
      <c r="AB337" s="118" t="s">
        <v>1531</v>
      </c>
      <c r="AC337" s="130">
        <v>1001001</v>
      </c>
      <c r="AD337" s="130">
        <v>337411</v>
      </c>
      <c r="AE337" s="130">
        <v>3374111006</v>
      </c>
      <c r="AF337" s="130" t="s">
        <v>2348</v>
      </c>
    </row>
    <row r="338" spans="1:32">
      <c r="A338" s="76">
        <f t="shared" si="12"/>
        <v>337</v>
      </c>
      <c r="B338" s="113">
        <v>2230125336</v>
      </c>
      <c r="C338" s="114" t="s">
        <v>2297</v>
      </c>
      <c r="D338" s="115" t="s">
        <v>2298</v>
      </c>
      <c r="E338" s="115" t="s">
        <v>2299</v>
      </c>
      <c r="F338" s="117" t="s">
        <v>32</v>
      </c>
      <c r="G338" s="115" t="s">
        <v>2300</v>
      </c>
      <c r="H338" s="115" t="s">
        <v>454</v>
      </c>
      <c r="I338" s="141">
        <v>34811</v>
      </c>
      <c r="J338" s="115" t="s">
        <v>35</v>
      </c>
      <c r="K338" s="90" t="e">
        <f>PROPER(#REF!)</f>
        <v>#REF!</v>
      </c>
      <c r="L338" s="113">
        <v>3</v>
      </c>
      <c r="M338" s="113">
        <v>9</v>
      </c>
      <c r="N338" s="115" t="s">
        <v>2301</v>
      </c>
      <c r="O338" s="115" t="s">
        <v>2301</v>
      </c>
      <c r="P338" s="115" t="s">
        <v>2302</v>
      </c>
      <c r="Q338" s="113">
        <v>17153</v>
      </c>
      <c r="R338" s="22"/>
      <c r="S338" s="18" t="s">
        <v>2215</v>
      </c>
      <c r="T338" s="21" t="str">
        <f>VLOOKUP(C338,'[1]TABEL SMA'!$C$8:$D$343,2,0)</f>
        <v>MAN 2 BEKASI</v>
      </c>
      <c r="U338" s="22" t="str">
        <f>IFERROR(VLOOKUP(Table11[[#This Row],[Nama]],'[1]TABEL BEASISWA'!$B$4:$D$202,2,FALSE),"TIDAK")</f>
        <v>YA</v>
      </c>
      <c r="V338" s="83" t="str">
        <f>IFERROR(VLOOKUP(Table11[[#This Row],[Nama]],'[1]TABEL BEASISWA'!$B$4:$D$202,3,FALSE),"Tidak ada")</f>
        <v>Beasiswa</v>
      </c>
      <c r="W338" s="24" t="str">
        <f>IFERROR(VLOOKUP(Table11[[#This Row],[Nama]],'[1]TABEL BEASISWA'!$B$4:$E$202,4,FALSE)," ")</f>
        <v>Angkatan 5</v>
      </c>
      <c r="X338" s="118" t="s">
        <v>1528</v>
      </c>
      <c r="Y338" s="32" t="s">
        <v>1529</v>
      </c>
      <c r="Z338" s="32" t="s">
        <v>1582</v>
      </c>
      <c r="AA338" s="97">
        <v>45936</v>
      </c>
      <c r="AB338" s="118" t="s">
        <v>1531</v>
      </c>
      <c r="AC338" s="130">
        <v>1001001</v>
      </c>
      <c r="AD338" s="130">
        <v>327507</v>
      </c>
      <c r="AE338" s="130">
        <v>3275071007</v>
      </c>
      <c r="AF338" s="130" t="s">
        <v>2348</v>
      </c>
    </row>
    <row r="339" spans="1:32">
      <c r="A339" s="76">
        <f t="shared" si="12"/>
        <v>338</v>
      </c>
      <c r="B339" s="119">
        <v>2230125325</v>
      </c>
      <c r="C339" s="120" t="s">
        <v>2303</v>
      </c>
      <c r="D339" s="121" t="s">
        <v>2304</v>
      </c>
      <c r="E339" s="121" t="s">
        <v>2305</v>
      </c>
      <c r="F339" s="123" t="s">
        <v>32</v>
      </c>
      <c r="G339" s="121" t="s">
        <v>2306</v>
      </c>
      <c r="H339" s="121" t="s">
        <v>2307</v>
      </c>
      <c r="I339" s="142">
        <v>31583</v>
      </c>
      <c r="J339" s="121" t="s">
        <v>35</v>
      </c>
      <c r="K339" s="90" t="e">
        <f>PROPER(#REF!)</f>
        <v>#REF!</v>
      </c>
      <c r="L339" s="119">
        <v>2</v>
      </c>
      <c r="M339" s="119">
        <v>15</v>
      </c>
      <c r="N339" s="121" t="s">
        <v>2308</v>
      </c>
      <c r="O339" s="121" t="s">
        <v>2308</v>
      </c>
      <c r="P339" s="121" t="s">
        <v>1278</v>
      </c>
      <c r="Q339" s="119">
        <v>11440</v>
      </c>
      <c r="R339" s="22"/>
      <c r="S339" s="18" t="s">
        <v>2215</v>
      </c>
      <c r="T339" s="21" t="str">
        <f>VLOOKUP(C339,'[1]TABEL SMA'!$C$8:$D$343,2,0)</f>
        <v>SMA NEGERI 2 RAHA</v>
      </c>
      <c r="U339" s="22" t="str">
        <f>IFERROR(VLOOKUP(Table11[[#This Row],[Nama]],'[1]TABEL BEASISWA'!$B$4:$D$202,2,FALSE),"TIDAK")</f>
        <v>YA</v>
      </c>
      <c r="V339" s="83" t="str">
        <f>IFERROR(VLOOKUP(Table11[[#This Row],[Nama]],'[1]TABEL BEASISWA'!$B$4:$D$202,3,FALSE),"Tidak ada")</f>
        <v>Beasiswa</v>
      </c>
      <c r="W339" s="24" t="str">
        <f>IFERROR(VLOOKUP(Table11[[#This Row],[Nama]],'[1]TABEL BEASISWA'!$B$4:$E$202,4,FALSE)," ")</f>
        <v>Angkatan 5</v>
      </c>
      <c r="X339" s="118" t="s">
        <v>1528</v>
      </c>
      <c r="Y339" s="32" t="s">
        <v>1529</v>
      </c>
      <c r="Z339" s="32" t="s">
        <v>1582</v>
      </c>
      <c r="AA339" s="97">
        <v>45936</v>
      </c>
      <c r="AB339" s="118" t="s">
        <v>1531</v>
      </c>
      <c r="AC339" s="130">
        <v>1001001</v>
      </c>
      <c r="AD339" s="130">
        <v>317302</v>
      </c>
      <c r="AE339" s="130">
        <v>3173021003</v>
      </c>
      <c r="AF339" s="130" t="s">
        <v>2348</v>
      </c>
    </row>
    <row r="340" spans="1:32" ht="28">
      <c r="A340" s="76">
        <f t="shared" si="12"/>
        <v>339</v>
      </c>
      <c r="B340" s="113">
        <v>2230125337</v>
      </c>
      <c r="C340" s="114" t="s">
        <v>2309</v>
      </c>
      <c r="D340" s="115" t="s">
        <v>2310</v>
      </c>
      <c r="E340" s="115" t="s">
        <v>2311</v>
      </c>
      <c r="F340" s="117" t="s">
        <v>32</v>
      </c>
      <c r="G340" s="115" t="s">
        <v>2312</v>
      </c>
      <c r="H340" s="115" t="s">
        <v>2313</v>
      </c>
      <c r="I340" s="141">
        <v>36739</v>
      </c>
      <c r="J340" s="115" t="s">
        <v>35</v>
      </c>
      <c r="K340" s="90" t="e">
        <f>PROPER(#REF!)</f>
        <v>#REF!</v>
      </c>
      <c r="L340" s="113">
        <v>5</v>
      </c>
      <c r="M340" s="113">
        <v>1</v>
      </c>
      <c r="N340" s="115" t="s">
        <v>1877</v>
      </c>
      <c r="O340" s="115" t="s">
        <v>1877</v>
      </c>
      <c r="P340" s="115" t="s">
        <v>1877</v>
      </c>
      <c r="Q340" s="113">
        <v>10110</v>
      </c>
      <c r="R340" s="22"/>
      <c r="S340" s="18" t="s">
        <v>2215</v>
      </c>
      <c r="T340" s="21" t="str">
        <f>VLOOKUP(C340,'[1]TABEL SMA'!$C$8:$D$343,2,0)</f>
        <v>SMAN 4 KOTA SOLOK</v>
      </c>
      <c r="U340" s="22" t="str">
        <f>IFERROR(VLOOKUP(Table11[[#This Row],[Nama]],'[1]TABEL BEASISWA'!$B$4:$D$202,2,FALSE),"TIDAK")</f>
        <v>YA</v>
      </c>
      <c r="V340" s="83" t="str">
        <f>IFERROR(VLOOKUP(Table11[[#This Row],[Nama]],'[1]TABEL BEASISWA'!$B$4:$D$202,3,FALSE),"Tidak ada")</f>
        <v>Beasiswa</v>
      </c>
      <c r="W340" s="24" t="str">
        <f>IFERROR(VLOOKUP(Table11[[#This Row],[Nama]],'[1]TABEL BEASISWA'!$B$4:$E$202,4,FALSE)," ")</f>
        <v>Angkatan 5</v>
      </c>
      <c r="X340" s="118" t="s">
        <v>1528</v>
      </c>
      <c r="Y340" s="32" t="s">
        <v>1529</v>
      </c>
      <c r="Z340" s="32" t="s">
        <v>1582</v>
      </c>
      <c r="AA340" s="97">
        <v>45936</v>
      </c>
      <c r="AB340" s="118" t="s">
        <v>1531</v>
      </c>
      <c r="AC340" s="130">
        <v>1001001</v>
      </c>
      <c r="AD340" s="130">
        <v>317101</v>
      </c>
      <c r="AE340" s="130">
        <v>3171011001</v>
      </c>
      <c r="AF340" s="130" t="s">
        <v>2348</v>
      </c>
    </row>
    <row r="341" spans="1:32" ht="28">
      <c r="A341" s="76">
        <f t="shared" si="12"/>
        <v>340</v>
      </c>
      <c r="B341" s="119">
        <v>2230125338</v>
      </c>
      <c r="C341" s="120" t="s">
        <v>2314</v>
      </c>
      <c r="D341" s="121" t="s">
        <v>2315</v>
      </c>
      <c r="E341" s="121" t="s">
        <v>2316</v>
      </c>
      <c r="F341" s="123" t="s">
        <v>32</v>
      </c>
      <c r="G341" s="121" t="s">
        <v>2317</v>
      </c>
      <c r="H341" s="121" t="s">
        <v>34</v>
      </c>
      <c r="I341" s="142">
        <v>38571</v>
      </c>
      <c r="J341" s="121" t="s">
        <v>35</v>
      </c>
      <c r="K341" s="90" t="e">
        <f>PROPER(#REF!)</f>
        <v>#REF!</v>
      </c>
      <c r="L341" s="119">
        <v>2</v>
      </c>
      <c r="M341" s="119">
        <v>5</v>
      </c>
      <c r="N341" s="121" t="s">
        <v>2318</v>
      </c>
      <c r="O341" s="121" t="s">
        <v>2318</v>
      </c>
      <c r="P341" s="121" t="s">
        <v>2318</v>
      </c>
      <c r="Q341" s="119">
        <v>53362</v>
      </c>
      <c r="R341" s="22"/>
      <c r="S341" s="18" t="s">
        <v>2215</v>
      </c>
      <c r="T341" s="21" t="str">
        <f>VLOOKUP(C341,'[1]TABEL SMA'!$C$8:$D$343,2,0)</f>
        <v>SMK NEGERI 1 PURBALINGGA</v>
      </c>
      <c r="U341" s="22" t="str">
        <f>IFERROR(VLOOKUP(Table11[[#This Row],[Nama]],'[1]TABEL BEASISWA'!$B$4:$D$202,2,FALSE),"TIDAK")</f>
        <v>YA</v>
      </c>
      <c r="V341" s="83" t="str">
        <f>IFERROR(VLOOKUP(Table11[[#This Row],[Nama]],'[1]TABEL BEASISWA'!$B$4:$D$202,3,FALSE),"Tidak ada")</f>
        <v>Beasiswa</v>
      </c>
      <c r="W341" s="24" t="str">
        <f>IFERROR(VLOOKUP(Table11[[#This Row],[Nama]],'[1]TABEL BEASISWA'!$B$4:$E$202,4,FALSE)," ")</f>
        <v>Angkatan 5</v>
      </c>
      <c r="X341" s="118" t="s">
        <v>1528</v>
      </c>
      <c r="Y341" s="32" t="s">
        <v>1529</v>
      </c>
      <c r="Z341" s="32" t="s">
        <v>1582</v>
      </c>
      <c r="AA341" s="97">
        <v>45936</v>
      </c>
      <c r="AB341" s="118" t="s">
        <v>1531</v>
      </c>
      <c r="AC341" s="130">
        <v>1001001</v>
      </c>
      <c r="AD341" s="130">
        <v>330314</v>
      </c>
      <c r="AE341" s="130">
        <v>3303142006</v>
      </c>
      <c r="AF341" s="130" t="s">
        <v>2348</v>
      </c>
    </row>
    <row r="342" spans="1:32" ht="28">
      <c r="A342" s="76">
        <f t="shared" ref="A342:A346" si="13">A341+1</f>
        <v>341</v>
      </c>
      <c r="B342" s="113">
        <v>2230125339</v>
      </c>
      <c r="C342" s="114" t="s">
        <v>2319</v>
      </c>
      <c r="D342" s="115" t="s">
        <v>2320</v>
      </c>
      <c r="E342" s="115" t="s">
        <v>2321</v>
      </c>
      <c r="F342" s="117" t="s">
        <v>32</v>
      </c>
      <c r="G342" s="115" t="s">
        <v>2322</v>
      </c>
      <c r="H342" s="115" t="s">
        <v>34</v>
      </c>
      <c r="I342" s="141">
        <v>31931</v>
      </c>
      <c r="J342" s="115" t="s">
        <v>35</v>
      </c>
      <c r="K342" s="90" t="e">
        <f>PROPER(#REF!)</f>
        <v>#REF!</v>
      </c>
      <c r="L342" s="113">
        <v>9</v>
      </c>
      <c r="M342" s="113">
        <v>8</v>
      </c>
      <c r="N342" s="115" t="s">
        <v>2250</v>
      </c>
      <c r="O342" s="115" t="s">
        <v>2250</v>
      </c>
      <c r="P342" s="115" t="s">
        <v>1877</v>
      </c>
      <c r="Q342" s="113">
        <v>10150</v>
      </c>
      <c r="R342" s="22"/>
      <c r="S342" s="18" t="s">
        <v>2215</v>
      </c>
      <c r="T342" s="21" t="str">
        <f>VLOOKUP(C342,'[1]TABEL SMA'!$C$8:$D$343,2,0)</f>
        <v>SMKS KESDAM JAYA JAKATRA</v>
      </c>
      <c r="U342" s="22" t="str">
        <f>IFERROR(VLOOKUP(Table11[[#This Row],[Nama]],'[1]TABEL BEASISWA'!$B$4:$D$202,2,FALSE),"TIDAK")</f>
        <v>YA</v>
      </c>
      <c r="V342" s="83" t="str">
        <f>IFERROR(VLOOKUP(Table11[[#This Row],[Nama]],'[1]TABEL BEASISWA'!$B$4:$D$202,3,FALSE),"Tidak ada")</f>
        <v>Beasiswa</v>
      </c>
      <c r="W342" s="24" t="str">
        <f>IFERROR(VLOOKUP(Table11[[#This Row],[Nama]],'[1]TABEL BEASISWA'!$B$4:$E$202,4,FALSE)," ")</f>
        <v>Angkatan 5</v>
      </c>
      <c r="X342" s="118" t="s">
        <v>1528</v>
      </c>
      <c r="Y342" s="32" t="s">
        <v>1529</v>
      </c>
      <c r="Z342" s="32" t="s">
        <v>1582</v>
      </c>
      <c r="AA342" s="97">
        <v>45936</v>
      </c>
      <c r="AB342" s="118" t="s">
        <v>1531</v>
      </c>
      <c r="AC342" s="130">
        <v>1001001</v>
      </c>
      <c r="AD342" s="130">
        <v>317101</v>
      </c>
      <c r="AE342" s="130">
        <v>3171011004</v>
      </c>
      <c r="AF342" s="130" t="s">
        <v>2348</v>
      </c>
    </row>
    <row r="343" spans="1:32" ht="42">
      <c r="A343" s="76">
        <f t="shared" si="13"/>
        <v>342</v>
      </c>
      <c r="B343" s="119">
        <v>2230125340</v>
      </c>
      <c r="C343" s="120" t="s">
        <v>2323</v>
      </c>
      <c r="D343" s="121" t="s">
        <v>2324</v>
      </c>
      <c r="E343" s="121" t="s">
        <v>2325</v>
      </c>
      <c r="F343" s="123" t="s">
        <v>32</v>
      </c>
      <c r="G343" s="121" t="s">
        <v>2326</v>
      </c>
      <c r="H343" s="120" t="s">
        <v>104</v>
      </c>
      <c r="I343" s="142">
        <v>36916</v>
      </c>
      <c r="J343" s="121" t="s">
        <v>35</v>
      </c>
      <c r="K343" s="90" t="e">
        <f>PROPER(#REF!)</f>
        <v>#REF!</v>
      </c>
      <c r="L343" s="119">
        <v>2</v>
      </c>
      <c r="M343" s="119">
        <v>1</v>
      </c>
      <c r="N343" s="121" t="s">
        <v>2327</v>
      </c>
      <c r="O343" s="121" t="s">
        <v>2327</v>
      </c>
      <c r="P343" s="121" t="s">
        <v>535</v>
      </c>
      <c r="Q343" s="119">
        <v>13440</v>
      </c>
      <c r="R343" s="22"/>
      <c r="S343" s="18" t="s">
        <v>2215</v>
      </c>
      <c r="T343" s="21" t="str">
        <f>VLOOKUP(C343,'[1]TABEL SMA'!$C$8:$D$343,2,0)</f>
        <v>SMK NEGERI 1 INDRALAYANA UTARA</v>
      </c>
      <c r="U343" s="22" t="str">
        <f>IFERROR(VLOOKUP(Table11[[#This Row],[Nama]],'[1]TABEL BEASISWA'!$B$4:$D$202,2,FALSE),"TIDAK")</f>
        <v>YA</v>
      </c>
      <c r="V343" s="83" t="str">
        <f>IFERROR(VLOOKUP(Table11[[#This Row],[Nama]],'[1]TABEL BEASISWA'!$B$4:$D$202,3,FALSE),"Tidak ada")</f>
        <v>Beasiswa</v>
      </c>
      <c r="W343" s="24" t="str">
        <f>IFERROR(VLOOKUP(Table11[[#This Row],[Nama]],'[1]TABEL BEASISWA'!$B$4:$E$202,4,FALSE)," ")</f>
        <v>Angkatan 5</v>
      </c>
      <c r="X343" s="118" t="s">
        <v>1528</v>
      </c>
      <c r="Y343" s="32" t="s">
        <v>1529</v>
      </c>
      <c r="Z343" s="32" t="s">
        <v>1582</v>
      </c>
      <c r="AA343" s="97">
        <v>45936</v>
      </c>
      <c r="AB343" s="118" t="s">
        <v>1531</v>
      </c>
      <c r="AC343" s="130">
        <v>1001001</v>
      </c>
      <c r="AD343" s="130"/>
      <c r="AE343" s="130"/>
      <c r="AF343" s="130" t="s">
        <v>2348</v>
      </c>
    </row>
    <row r="344" spans="1:32" ht="28">
      <c r="A344" s="76">
        <f t="shared" si="13"/>
        <v>343</v>
      </c>
      <c r="B344" s="113">
        <v>2230125341</v>
      </c>
      <c r="C344" s="114" t="s">
        <v>2328</v>
      </c>
      <c r="D344" s="115" t="s">
        <v>2329</v>
      </c>
      <c r="E344" s="115" t="s">
        <v>2330</v>
      </c>
      <c r="F344" s="117" t="s">
        <v>32</v>
      </c>
      <c r="G344" s="115" t="s">
        <v>2331</v>
      </c>
      <c r="H344" s="115" t="s">
        <v>2332</v>
      </c>
      <c r="I344" s="141">
        <v>26852</v>
      </c>
      <c r="J344" s="115" t="s">
        <v>1368</v>
      </c>
      <c r="K344" s="90" t="e">
        <f>PROPER(#REF!)</f>
        <v>#REF!</v>
      </c>
      <c r="L344" s="113">
        <v>7</v>
      </c>
      <c r="M344" s="113">
        <v>4</v>
      </c>
      <c r="N344" s="115" t="s">
        <v>2333</v>
      </c>
      <c r="O344" s="115" t="s">
        <v>2333</v>
      </c>
      <c r="P344" s="115" t="s">
        <v>2333</v>
      </c>
      <c r="Q344" s="113">
        <v>13840</v>
      </c>
      <c r="R344" s="22"/>
      <c r="S344" s="18" t="s">
        <v>2215</v>
      </c>
      <c r="T344" s="21" t="str">
        <f>VLOOKUP(C344,'[1]TABEL SMA'!$C$8:$D$343,2,0)</f>
        <v>SMAN 1 BALIGE SUMATRA UTARA</v>
      </c>
      <c r="U344" s="22" t="str">
        <f>IFERROR(VLOOKUP(Table11[[#This Row],[Nama]],'[1]TABEL BEASISWA'!$B$4:$D$202,2,FALSE),"TIDAK")</f>
        <v>YA</v>
      </c>
      <c r="V344" s="83" t="str">
        <f>IFERROR(VLOOKUP(Table11[[#This Row],[Nama]],'[1]TABEL BEASISWA'!$B$4:$D$202,3,FALSE),"Tidak ada")</f>
        <v>Beasiswa</v>
      </c>
      <c r="W344" s="24" t="str">
        <f>IFERROR(VLOOKUP(Table11[[#This Row],[Nama]],'[1]TABEL BEASISWA'!$B$4:$E$202,4,FALSE)," ")</f>
        <v>Angkatan 5</v>
      </c>
      <c r="X344" s="118" t="s">
        <v>1528</v>
      </c>
      <c r="Y344" s="32" t="s">
        <v>1529</v>
      </c>
      <c r="Z344" s="32" t="s">
        <v>1582</v>
      </c>
      <c r="AA344" s="97">
        <v>45936</v>
      </c>
      <c r="AB344" s="118" t="s">
        <v>1531</v>
      </c>
      <c r="AC344" s="130">
        <v>1001002</v>
      </c>
      <c r="AD344" s="130">
        <v>327607</v>
      </c>
      <c r="AE344" s="130">
        <v>3276071001</v>
      </c>
      <c r="AF344" s="130" t="s">
        <v>2348</v>
      </c>
    </row>
    <row r="345" spans="1:32">
      <c r="A345" s="76">
        <f t="shared" si="13"/>
        <v>344</v>
      </c>
      <c r="B345" s="119">
        <v>2230125343</v>
      </c>
      <c r="C345" s="120" t="s">
        <v>2334</v>
      </c>
      <c r="D345" s="121" t="s">
        <v>2335</v>
      </c>
      <c r="E345" s="121" t="s">
        <v>2336</v>
      </c>
      <c r="F345" s="123" t="s">
        <v>32</v>
      </c>
      <c r="G345" s="121" t="s">
        <v>2337</v>
      </c>
      <c r="H345" s="121" t="s">
        <v>34</v>
      </c>
      <c r="I345" s="142">
        <v>33407</v>
      </c>
      <c r="J345" s="121" t="s">
        <v>35</v>
      </c>
      <c r="K345" s="90" t="e">
        <f>PROPER(#REF!)</f>
        <v>#REF!</v>
      </c>
      <c r="L345" s="119">
        <v>3</v>
      </c>
      <c r="M345" s="119">
        <v>2</v>
      </c>
      <c r="N345" s="121" t="s">
        <v>2338</v>
      </c>
      <c r="O345" s="121" t="s">
        <v>2338</v>
      </c>
      <c r="P345" s="121" t="s">
        <v>1891</v>
      </c>
      <c r="Q345" s="119">
        <v>11710</v>
      </c>
      <c r="R345" s="22"/>
      <c r="S345" s="18" t="s">
        <v>2215</v>
      </c>
      <c r="T345" s="21" t="str">
        <f>VLOOKUP(C345,'[1]TABEL SMA'!$C$8:$D$343,2,0)</f>
        <v>SMAN 33 JAKARTA</v>
      </c>
      <c r="U345" s="22" t="str">
        <f>IFERROR(VLOOKUP(Table11[[#This Row],[Nama]],'[1]TABEL BEASISWA'!$B$4:$D$202,2,FALSE),"TIDAK")</f>
        <v>YA</v>
      </c>
      <c r="V345" s="83" t="str">
        <f>IFERROR(VLOOKUP(Table11[[#This Row],[Nama]],'[1]TABEL BEASISWA'!$B$4:$D$202,3,FALSE),"Tidak ada")</f>
        <v>Beasiswa</v>
      </c>
      <c r="W345" s="24" t="str">
        <f>IFERROR(VLOOKUP(Table11[[#This Row],[Nama]],'[1]TABEL BEASISWA'!$B$4:$E$202,4,FALSE)," ")</f>
        <v>Angkatan 5</v>
      </c>
      <c r="X345" s="118" t="s">
        <v>1528</v>
      </c>
      <c r="Y345" s="32" t="s">
        <v>1529</v>
      </c>
      <c r="Z345" s="32" t="s">
        <v>1582</v>
      </c>
      <c r="AA345" s="97">
        <v>45936</v>
      </c>
      <c r="AB345" s="118" t="s">
        <v>1531</v>
      </c>
      <c r="AC345" s="130">
        <v>1001001</v>
      </c>
      <c r="AD345" s="130">
        <v>317301</v>
      </c>
      <c r="AE345" s="130">
        <v>3173011004</v>
      </c>
      <c r="AF345" s="130" t="s">
        <v>2348</v>
      </c>
    </row>
    <row r="346" spans="1:32" ht="28">
      <c r="A346" s="76">
        <f t="shared" si="13"/>
        <v>345</v>
      </c>
      <c r="B346" s="124">
        <v>2230125344</v>
      </c>
      <c r="C346" s="125" t="s">
        <v>2339</v>
      </c>
      <c r="D346" s="126" t="s">
        <v>2340</v>
      </c>
      <c r="E346" s="126" t="s">
        <v>2341</v>
      </c>
      <c r="F346" s="127" t="s">
        <v>32</v>
      </c>
      <c r="G346" s="126" t="s">
        <v>2342</v>
      </c>
      <c r="H346" s="126" t="s">
        <v>34</v>
      </c>
      <c r="I346" s="143">
        <v>31479</v>
      </c>
      <c r="J346" s="126" t="s">
        <v>35</v>
      </c>
      <c r="K346" s="90" t="e">
        <f>PROPER(#REF!)</f>
        <v>#REF!</v>
      </c>
      <c r="L346" s="124">
        <v>6</v>
      </c>
      <c r="M346" s="124">
        <v>5</v>
      </c>
      <c r="N346" s="126" t="s">
        <v>2343</v>
      </c>
      <c r="O346" s="126" t="s">
        <v>2343</v>
      </c>
      <c r="P346" s="126" t="s">
        <v>2344</v>
      </c>
      <c r="Q346" s="124">
        <v>13520</v>
      </c>
      <c r="R346" s="22"/>
      <c r="S346" s="18" t="s">
        <v>2215</v>
      </c>
      <c r="T346" s="21" t="str">
        <f>VLOOKUP(C346,'[1]TABEL SMA'!$C$8:$D$343,2,0)</f>
        <v xml:space="preserve">SMA ADILUHUR JAKARTA </v>
      </c>
      <c r="U346" s="22" t="str">
        <f>IFERROR(VLOOKUP(Table11[[#This Row],[Nama]],'[1]TABEL BEASISWA'!$B$4:$D$202,2,FALSE),"TIDAK")</f>
        <v>YA</v>
      </c>
      <c r="V346" s="83" t="str">
        <f>IFERROR(VLOOKUP(Table11[[#This Row],[Nama]],'[1]TABEL BEASISWA'!$B$4:$D$202,3,FALSE),"Tidak ada")</f>
        <v>Beasiswa</v>
      </c>
      <c r="W346" s="24" t="str">
        <f>IFERROR(VLOOKUP(Table11[[#This Row],[Nama]],'[1]TABEL BEASISWA'!$B$4:$E$202,4,FALSE)," ")</f>
        <v>Angkatan 5</v>
      </c>
      <c r="X346" s="118" t="s">
        <v>1528</v>
      </c>
      <c r="Y346" s="32" t="s">
        <v>1529</v>
      </c>
      <c r="Z346" s="32" t="s">
        <v>1582</v>
      </c>
      <c r="AA346" s="97">
        <v>45936</v>
      </c>
      <c r="AB346" s="118" t="s">
        <v>1531</v>
      </c>
      <c r="AC346" s="131">
        <v>1001001</v>
      </c>
      <c r="AD346" s="131"/>
      <c r="AE346" s="131"/>
      <c r="AF346" s="131" t="s">
        <v>2348</v>
      </c>
    </row>
    <row r="349" spans="1:32" ht="15.75" customHeight="1">
      <c r="E349" s="1"/>
      <c r="F349" s="1"/>
      <c r="G349" s="1"/>
      <c r="H349" s="1"/>
      <c r="I349" s="1"/>
      <c r="J349" s="1"/>
      <c r="K349" s="2"/>
      <c r="L349" s="3"/>
      <c r="M349" s="3"/>
      <c r="N349" s="3"/>
      <c r="O349" s="3"/>
      <c r="P349" s="3"/>
      <c r="Q349" s="1"/>
      <c r="R349" s="1"/>
      <c r="S349" s="1"/>
    </row>
    <row r="350" spans="1:32" ht="15.75" customHeight="1">
      <c r="E350" s="1"/>
      <c r="F350" s="1"/>
      <c r="G350" s="1"/>
      <c r="H350" s="1"/>
      <c r="I350" s="1"/>
      <c r="J350" s="1"/>
      <c r="K350" s="2"/>
      <c r="L350" s="3"/>
      <c r="M350" s="3"/>
      <c r="N350" s="3"/>
      <c r="O350" s="3"/>
      <c r="P350" s="3"/>
      <c r="Q350" s="1"/>
      <c r="R350" s="1"/>
      <c r="S350" s="1"/>
    </row>
    <row r="351" spans="1:32" ht="15.75" customHeight="1">
      <c r="E351" s="1"/>
      <c r="F351" s="1"/>
      <c r="G351" s="1"/>
      <c r="H351" s="1"/>
      <c r="I351" s="1"/>
      <c r="J351" s="1"/>
      <c r="K351" s="2"/>
      <c r="L351" s="3"/>
      <c r="M351" s="3"/>
      <c r="N351" s="3"/>
      <c r="O351" s="3"/>
      <c r="P351" s="3"/>
      <c r="Q351" s="1"/>
      <c r="R351" s="1"/>
      <c r="S351" s="1"/>
    </row>
    <row r="352" spans="1:32" ht="15.75" customHeight="1">
      <c r="E352" s="1"/>
      <c r="F352" s="1"/>
      <c r="G352" s="1"/>
      <c r="H352" s="1"/>
      <c r="I352" s="1"/>
      <c r="J352" s="1"/>
      <c r="K352" s="2"/>
      <c r="L352" s="3"/>
      <c r="M352" s="3"/>
      <c r="N352" s="3"/>
      <c r="O352" s="3"/>
      <c r="P352" s="3"/>
      <c r="Q352" s="1"/>
      <c r="R352" s="1"/>
      <c r="S352" s="1"/>
    </row>
    <row r="353" spans="5:19" ht="15.75" customHeight="1">
      <c r="E353" s="1"/>
      <c r="F353" s="1"/>
      <c r="G353" s="1"/>
      <c r="H353" s="1"/>
      <c r="I353" s="1"/>
      <c r="J353" s="1"/>
      <c r="K353" s="2"/>
      <c r="L353" s="3"/>
      <c r="M353" s="3"/>
      <c r="N353" s="3"/>
      <c r="O353" s="3"/>
      <c r="P353" s="3"/>
      <c r="Q353" s="1"/>
      <c r="R353" s="1"/>
      <c r="S353" s="1"/>
    </row>
    <row r="354" spans="5:19" ht="15.75" customHeight="1">
      <c r="E354" s="1"/>
      <c r="F354" s="1"/>
      <c r="G354" s="1"/>
      <c r="H354" s="1"/>
      <c r="I354" s="1"/>
      <c r="J354" s="1"/>
      <c r="K354" s="2"/>
      <c r="L354" s="3"/>
      <c r="M354" s="3"/>
      <c r="N354" s="3"/>
      <c r="O354" s="3"/>
      <c r="P354" s="3"/>
      <c r="Q354" s="1"/>
      <c r="R354" s="1"/>
      <c r="S354" s="1"/>
    </row>
    <row r="355" spans="5:19" ht="15.75" customHeight="1">
      <c r="E355" s="1"/>
      <c r="F355" s="1"/>
      <c r="G355" s="1"/>
      <c r="H355" s="1"/>
      <c r="I355" s="1"/>
      <c r="J355" s="1"/>
      <c r="K355" s="2"/>
      <c r="L355" s="3"/>
      <c r="M355" s="3"/>
      <c r="N355" s="3"/>
      <c r="O355" s="3"/>
      <c r="P355" s="3"/>
      <c r="Q355" s="1"/>
      <c r="R355" s="1"/>
      <c r="S355" s="1"/>
    </row>
    <row r="356" spans="5:19" ht="15.75" customHeight="1">
      <c r="E356" s="1"/>
      <c r="F356" s="1"/>
      <c r="G356" s="1"/>
      <c r="H356" s="1"/>
      <c r="I356" s="1"/>
      <c r="J356" s="1"/>
      <c r="K356" s="2"/>
      <c r="L356" s="3"/>
      <c r="M356" s="3"/>
      <c r="N356" s="3"/>
      <c r="O356" s="3"/>
      <c r="P356" s="3"/>
      <c r="Q356" s="1"/>
      <c r="R356" s="1"/>
      <c r="S356" s="1"/>
    </row>
    <row r="357" spans="5:19" ht="15.75" customHeight="1">
      <c r="E357" s="1"/>
      <c r="F357" s="1"/>
      <c r="G357" s="1"/>
      <c r="H357" s="1"/>
      <c r="I357" s="1"/>
      <c r="J357" s="1"/>
      <c r="K357" s="2"/>
      <c r="L357" s="3"/>
      <c r="M357" s="3"/>
      <c r="N357" s="3"/>
      <c r="O357" s="3"/>
      <c r="P357" s="3"/>
      <c r="Q357" s="1"/>
      <c r="R357" s="1"/>
      <c r="S357" s="1"/>
    </row>
    <row r="358" spans="5:19" ht="15.75" customHeight="1">
      <c r="E358" s="1"/>
      <c r="F358" s="1"/>
      <c r="G358" s="1"/>
      <c r="H358" s="1"/>
      <c r="I358" s="1"/>
      <c r="J358" s="1"/>
      <c r="K358" s="2"/>
      <c r="L358" s="3"/>
      <c r="M358" s="3"/>
      <c r="N358" s="3"/>
      <c r="O358" s="3"/>
      <c r="P358" s="3"/>
      <c r="Q358" s="1"/>
      <c r="R358" s="1"/>
      <c r="S358" s="1"/>
    </row>
    <row r="359" spans="5:19" ht="15.75" customHeight="1">
      <c r="E359" s="1"/>
      <c r="F359" s="1"/>
      <c r="G359" s="1"/>
      <c r="H359" s="1"/>
      <c r="I359" s="1"/>
      <c r="J359" s="1"/>
      <c r="K359" s="2"/>
      <c r="L359" s="3"/>
      <c r="M359" s="3"/>
      <c r="N359" s="3"/>
      <c r="O359" s="3"/>
      <c r="P359" s="3"/>
      <c r="Q359" s="1"/>
      <c r="R359" s="1"/>
      <c r="S359" s="1"/>
    </row>
    <row r="360" spans="5:19" ht="15.75" customHeight="1">
      <c r="E360" s="1"/>
      <c r="F360" s="1"/>
      <c r="G360" s="1"/>
      <c r="H360" s="1"/>
      <c r="I360" s="1"/>
      <c r="J360" s="1"/>
      <c r="K360" s="2"/>
      <c r="L360" s="3"/>
      <c r="M360" s="3"/>
      <c r="N360" s="3"/>
      <c r="O360" s="3"/>
      <c r="P360" s="3"/>
      <c r="Q360" s="1"/>
      <c r="R360" s="1"/>
      <c r="S360" s="1"/>
    </row>
    <row r="361" spans="5:19" ht="15.75" customHeight="1">
      <c r="E361" s="1"/>
      <c r="F361" s="1"/>
      <c r="G361" s="1"/>
      <c r="H361" s="1"/>
      <c r="I361" s="1"/>
      <c r="J361" s="1"/>
      <c r="K361" s="2"/>
      <c r="L361" s="3"/>
      <c r="M361" s="3"/>
      <c r="N361" s="3"/>
      <c r="O361" s="3"/>
      <c r="P361" s="3"/>
      <c r="Q361" s="1"/>
      <c r="R361" s="1"/>
      <c r="S361" s="1"/>
    </row>
    <row r="362" spans="5:19" ht="15.75" customHeight="1">
      <c r="E362" s="1"/>
      <c r="F362" s="1"/>
      <c r="G362" s="1"/>
      <c r="H362" s="1"/>
      <c r="I362" s="1"/>
      <c r="J362" s="1"/>
      <c r="K362" s="2"/>
      <c r="L362" s="3"/>
      <c r="M362" s="3"/>
      <c r="N362" s="3"/>
      <c r="O362" s="3"/>
      <c r="P362" s="3"/>
      <c r="Q362" s="1"/>
      <c r="R362" s="1"/>
      <c r="S362" s="1"/>
    </row>
    <row r="363" spans="5:19" ht="15.75" customHeight="1">
      <c r="E363" s="1"/>
      <c r="F363" s="1"/>
      <c r="G363" s="1"/>
      <c r="H363" s="1"/>
      <c r="I363" s="1"/>
      <c r="J363" s="1"/>
      <c r="K363" s="2"/>
      <c r="L363" s="3"/>
      <c r="M363" s="3"/>
      <c r="N363" s="3"/>
      <c r="O363" s="3"/>
      <c r="P363" s="3"/>
      <c r="Q363" s="1"/>
      <c r="R363" s="1"/>
      <c r="S363" s="1"/>
    </row>
    <row r="364" spans="5:19" ht="15.75" customHeight="1">
      <c r="E364" s="1"/>
      <c r="F364" s="1"/>
      <c r="G364" s="1"/>
      <c r="H364" s="1"/>
      <c r="I364" s="1"/>
      <c r="J364" s="1"/>
      <c r="K364" s="2"/>
      <c r="L364" s="3"/>
      <c r="M364" s="3"/>
      <c r="N364" s="3"/>
      <c r="O364" s="3"/>
      <c r="P364" s="3"/>
      <c r="Q364" s="1"/>
      <c r="R364" s="1"/>
      <c r="S364" s="1"/>
    </row>
    <row r="365" spans="5:19" ht="15.75" customHeight="1">
      <c r="E365" s="1"/>
      <c r="F365" s="1"/>
      <c r="G365" s="1"/>
      <c r="H365" s="1"/>
      <c r="I365" s="1"/>
      <c r="J365" s="1"/>
      <c r="K365" s="2"/>
      <c r="L365" s="3"/>
      <c r="M365" s="3"/>
      <c r="N365" s="3"/>
      <c r="O365" s="3"/>
      <c r="P365" s="3"/>
      <c r="Q365" s="1"/>
      <c r="R365" s="1"/>
      <c r="S365" s="1"/>
    </row>
    <row r="366" spans="5:19" ht="15.75" customHeight="1">
      <c r="E366" s="1"/>
      <c r="F366" s="1"/>
      <c r="G366" s="1"/>
      <c r="H366" s="1"/>
      <c r="I366" s="1"/>
      <c r="J366" s="1"/>
      <c r="K366" s="2"/>
      <c r="L366" s="3"/>
      <c r="M366" s="3"/>
      <c r="N366" s="3"/>
      <c r="O366" s="3"/>
      <c r="P366" s="3"/>
      <c r="Q366" s="1"/>
      <c r="R366" s="1"/>
      <c r="S366" s="1"/>
    </row>
    <row r="367" spans="5:19" ht="15.75" customHeight="1">
      <c r="E367" s="1"/>
      <c r="F367" s="1"/>
      <c r="G367" s="1"/>
      <c r="H367" s="1"/>
      <c r="I367" s="1"/>
      <c r="J367" s="1"/>
      <c r="K367" s="2"/>
      <c r="L367" s="3"/>
      <c r="M367" s="3"/>
      <c r="N367" s="3"/>
      <c r="O367" s="3"/>
      <c r="P367" s="3"/>
      <c r="Q367" s="1"/>
      <c r="R367" s="1"/>
      <c r="S367" s="1"/>
    </row>
    <row r="368" spans="5:19" ht="15.75" customHeight="1">
      <c r="E368" s="1"/>
      <c r="F368" s="1"/>
      <c r="G368" s="1"/>
      <c r="H368" s="1"/>
      <c r="I368" s="1"/>
      <c r="J368" s="1"/>
      <c r="K368" s="2"/>
      <c r="L368" s="3"/>
      <c r="M368" s="3"/>
      <c r="N368" s="3"/>
      <c r="O368" s="3"/>
      <c r="P368" s="3"/>
      <c r="Q368" s="1"/>
      <c r="R368" s="1"/>
      <c r="S368" s="1"/>
    </row>
    <row r="369" spans="5:19" ht="15.75" customHeight="1">
      <c r="E369" s="1"/>
      <c r="F369" s="1"/>
      <c r="G369" s="1"/>
      <c r="H369" s="1"/>
      <c r="I369" s="1"/>
      <c r="J369" s="1"/>
      <c r="K369" s="2"/>
      <c r="L369" s="3"/>
      <c r="M369" s="3"/>
      <c r="N369" s="3"/>
      <c r="O369" s="3"/>
      <c r="P369" s="3"/>
      <c r="Q369" s="1"/>
      <c r="R369" s="1"/>
      <c r="S369" s="1"/>
    </row>
    <row r="370" spans="5:19" ht="15.75" customHeight="1">
      <c r="E370" s="1"/>
      <c r="F370" s="1"/>
      <c r="G370" s="1"/>
      <c r="H370" s="1"/>
      <c r="I370" s="1"/>
      <c r="J370" s="1"/>
      <c r="K370" s="2"/>
      <c r="L370" s="3"/>
      <c r="M370" s="3"/>
      <c r="N370" s="3"/>
      <c r="O370" s="3"/>
      <c r="P370" s="3"/>
      <c r="Q370" s="1"/>
      <c r="R370" s="1"/>
      <c r="S370" s="1"/>
    </row>
    <row r="371" spans="5:19" ht="15.75" customHeight="1">
      <c r="E371" s="1"/>
      <c r="F371" s="1"/>
      <c r="G371" s="1"/>
      <c r="H371" s="1"/>
      <c r="I371" s="1"/>
      <c r="J371" s="1"/>
      <c r="K371" s="2"/>
      <c r="L371" s="3"/>
      <c r="M371" s="3"/>
      <c r="N371" s="3"/>
      <c r="O371" s="3"/>
      <c r="P371" s="3"/>
      <c r="Q371" s="1"/>
      <c r="R371" s="1"/>
      <c r="S371" s="1"/>
    </row>
    <row r="372" spans="5:19" ht="15.75" customHeight="1">
      <c r="E372" s="1"/>
      <c r="F372" s="1"/>
      <c r="G372" s="1"/>
      <c r="H372" s="1"/>
      <c r="I372" s="1"/>
      <c r="J372" s="1"/>
      <c r="K372" s="2"/>
      <c r="L372" s="3"/>
      <c r="M372" s="3"/>
      <c r="N372" s="3"/>
      <c r="O372" s="3"/>
      <c r="P372" s="3"/>
      <c r="Q372" s="1"/>
      <c r="R372" s="1"/>
      <c r="S372" s="1"/>
    </row>
    <row r="373" spans="5:19" ht="15.75" customHeight="1">
      <c r="E373" s="1"/>
      <c r="F373" s="1"/>
      <c r="G373" s="1"/>
      <c r="H373" s="1"/>
      <c r="I373" s="1"/>
      <c r="J373" s="1"/>
      <c r="K373" s="2"/>
      <c r="L373" s="3"/>
      <c r="M373" s="3"/>
      <c r="N373" s="3"/>
      <c r="O373" s="3"/>
      <c r="P373" s="3"/>
      <c r="Q373" s="1"/>
      <c r="R373" s="1"/>
      <c r="S373" s="1"/>
    </row>
    <row r="374" spans="5:19" ht="15.75" customHeight="1">
      <c r="E374" s="1"/>
      <c r="F374" s="1"/>
      <c r="G374" s="1"/>
      <c r="H374" s="1"/>
      <c r="I374" s="1"/>
      <c r="J374" s="1"/>
      <c r="K374" s="2"/>
      <c r="L374" s="3"/>
      <c r="M374" s="3"/>
      <c r="N374" s="3"/>
      <c r="O374" s="3"/>
      <c r="P374" s="3"/>
      <c r="Q374" s="1"/>
      <c r="R374" s="1"/>
      <c r="S374" s="1"/>
    </row>
    <row r="375" spans="5:19" ht="15.75" customHeight="1">
      <c r="E375" s="1"/>
      <c r="F375" s="1"/>
      <c r="G375" s="1"/>
      <c r="H375" s="1"/>
      <c r="I375" s="1"/>
      <c r="J375" s="1"/>
      <c r="K375" s="2"/>
      <c r="L375" s="3"/>
      <c r="M375" s="3"/>
      <c r="N375" s="3"/>
      <c r="O375" s="3"/>
      <c r="P375" s="3"/>
      <c r="Q375" s="1"/>
      <c r="R375" s="1"/>
      <c r="S375" s="1"/>
    </row>
    <row r="376" spans="5:19" ht="15.75" customHeight="1">
      <c r="E376" s="1"/>
      <c r="F376" s="1"/>
      <c r="G376" s="1"/>
      <c r="H376" s="1"/>
      <c r="I376" s="1"/>
      <c r="J376" s="1"/>
      <c r="K376" s="2"/>
      <c r="L376" s="3"/>
      <c r="M376" s="3"/>
      <c r="N376" s="3"/>
      <c r="O376" s="3"/>
      <c r="P376" s="3"/>
      <c r="Q376" s="1"/>
      <c r="R376" s="1"/>
      <c r="S376" s="1"/>
    </row>
    <row r="377" spans="5:19" ht="15.75" customHeight="1">
      <c r="E377" s="1"/>
      <c r="F377" s="1"/>
      <c r="G377" s="1"/>
      <c r="H377" s="1"/>
      <c r="I377" s="1"/>
      <c r="J377" s="1"/>
      <c r="K377" s="2"/>
      <c r="L377" s="3"/>
      <c r="M377" s="3"/>
      <c r="N377" s="3"/>
      <c r="O377" s="3"/>
      <c r="P377" s="3"/>
      <c r="Q377" s="1"/>
      <c r="R377" s="1"/>
      <c r="S377" s="1"/>
    </row>
    <row r="378" spans="5:19" ht="15.75" customHeight="1">
      <c r="E378" s="1"/>
      <c r="F378" s="1"/>
      <c r="G378" s="1"/>
      <c r="H378" s="1"/>
      <c r="I378" s="1"/>
      <c r="J378" s="1"/>
      <c r="K378" s="2"/>
      <c r="L378" s="3"/>
      <c r="M378" s="3"/>
      <c r="N378" s="3"/>
      <c r="O378" s="3"/>
      <c r="P378" s="3"/>
      <c r="Q378" s="1"/>
      <c r="R378" s="1"/>
      <c r="S378" s="1"/>
    </row>
    <row r="379" spans="5:19" ht="15.75" customHeight="1">
      <c r="E379" s="1"/>
      <c r="F379" s="1"/>
      <c r="G379" s="1"/>
      <c r="H379" s="1"/>
      <c r="I379" s="1"/>
      <c r="J379" s="1"/>
      <c r="K379" s="2"/>
      <c r="L379" s="3"/>
      <c r="M379" s="3"/>
      <c r="N379" s="3"/>
      <c r="O379" s="3"/>
      <c r="P379" s="3"/>
      <c r="Q379" s="1"/>
      <c r="R379" s="1"/>
      <c r="S379" s="1"/>
    </row>
    <row r="380" spans="5:19" ht="15.75" customHeight="1">
      <c r="E380" s="1"/>
      <c r="F380" s="1"/>
      <c r="G380" s="1"/>
      <c r="H380" s="1"/>
      <c r="I380" s="1"/>
      <c r="J380" s="1"/>
      <c r="K380" s="2"/>
      <c r="L380" s="3"/>
      <c r="M380" s="3"/>
      <c r="N380" s="3"/>
      <c r="O380" s="3"/>
      <c r="P380" s="3"/>
      <c r="Q380" s="1"/>
      <c r="R380" s="1"/>
      <c r="S380" s="1"/>
    </row>
    <row r="381" spans="5:19" ht="15.75" customHeight="1">
      <c r="E381" s="1"/>
      <c r="F381" s="1"/>
      <c r="G381" s="1"/>
      <c r="H381" s="1"/>
      <c r="I381" s="1"/>
      <c r="J381" s="1"/>
      <c r="K381" s="2"/>
      <c r="L381" s="3"/>
      <c r="M381" s="3"/>
      <c r="N381" s="3"/>
      <c r="O381" s="3"/>
      <c r="P381" s="3"/>
      <c r="Q381" s="1"/>
      <c r="R381" s="1"/>
      <c r="S381" s="1"/>
    </row>
    <row r="382" spans="5:19" ht="15.75" customHeight="1">
      <c r="E382" s="1"/>
      <c r="F382" s="1"/>
      <c r="G382" s="1"/>
      <c r="H382" s="1"/>
      <c r="I382" s="1"/>
      <c r="J382" s="1"/>
      <c r="K382" s="2"/>
      <c r="L382" s="3"/>
      <c r="M382" s="3"/>
      <c r="N382" s="3"/>
      <c r="O382" s="3"/>
      <c r="P382" s="3"/>
      <c r="Q382" s="1"/>
      <c r="R382" s="1"/>
      <c r="S382" s="1"/>
    </row>
    <row r="383" spans="5:19" ht="15.75" customHeight="1">
      <c r="E383" s="1"/>
      <c r="F383" s="1"/>
      <c r="G383" s="1"/>
      <c r="H383" s="1"/>
      <c r="I383" s="1"/>
      <c r="J383" s="1"/>
      <c r="K383" s="2"/>
      <c r="L383" s="3"/>
      <c r="M383" s="3"/>
      <c r="N383" s="3"/>
      <c r="O383" s="3"/>
      <c r="P383" s="3"/>
      <c r="Q383" s="1"/>
      <c r="R383" s="1"/>
      <c r="S383" s="1"/>
    </row>
    <row r="384" spans="5:19" ht="15.75" customHeight="1">
      <c r="E384" s="1"/>
      <c r="F384" s="1"/>
      <c r="G384" s="1"/>
      <c r="H384" s="1"/>
      <c r="I384" s="1"/>
      <c r="J384" s="1"/>
      <c r="K384" s="2"/>
      <c r="L384" s="3"/>
      <c r="M384" s="3"/>
      <c r="N384" s="3"/>
      <c r="O384" s="3"/>
      <c r="P384" s="3"/>
      <c r="Q384" s="1"/>
      <c r="R384" s="1"/>
      <c r="S384" s="1"/>
    </row>
    <row r="385" spans="5:19" ht="15.75" customHeight="1">
      <c r="E385" s="1"/>
      <c r="F385" s="1"/>
      <c r="G385" s="1"/>
      <c r="H385" s="1"/>
      <c r="I385" s="1"/>
      <c r="J385" s="1"/>
      <c r="K385" s="2"/>
      <c r="L385" s="3"/>
      <c r="M385" s="3"/>
      <c r="N385" s="3"/>
      <c r="O385" s="3"/>
      <c r="P385" s="3"/>
      <c r="Q385" s="1"/>
      <c r="R385" s="1"/>
      <c r="S385" s="1"/>
    </row>
    <row r="386" spans="5:19" ht="15.75" customHeight="1">
      <c r="E386" s="1"/>
      <c r="F386" s="1"/>
      <c r="G386" s="1"/>
      <c r="H386" s="1"/>
      <c r="I386" s="1"/>
      <c r="J386" s="1"/>
      <c r="K386" s="2"/>
      <c r="L386" s="3"/>
      <c r="M386" s="3"/>
      <c r="N386" s="3"/>
      <c r="O386" s="3"/>
      <c r="P386" s="3"/>
      <c r="Q386" s="1"/>
      <c r="R386" s="1"/>
      <c r="S386" s="1"/>
    </row>
    <row r="387" spans="5:19" ht="15.75" customHeight="1">
      <c r="E387" s="1"/>
      <c r="F387" s="1"/>
      <c r="G387" s="1"/>
      <c r="H387" s="1"/>
      <c r="I387" s="1"/>
      <c r="J387" s="1"/>
      <c r="K387" s="2"/>
      <c r="L387" s="3"/>
      <c r="M387" s="3"/>
      <c r="N387" s="3"/>
      <c r="O387" s="3"/>
      <c r="P387" s="3"/>
      <c r="Q387" s="1"/>
      <c r="R387" s="1"/>
      <c r="S387" s="1"/>
    </row>
    <row r="388" spans="5:19" ht="15.75" customHeight="1">
      <c r="E388" s="1"/>
      <c r="F388" s="1"/>
      <c r="G388" s="1"/>
      <c r="H388" s="1"/>
      <c r="I388" s="1"/>
      <c r="J388" s="1"/>
      <c r="K388" s="2"/>
      <c r="L388" s="3"/>
      <c r="M388" s="3"/>
      <c r="N388" s="3"/>
      <c r="O388" s="3"/>
      <c r="P388" s="3"/>
      <c r="Q388" s="1"/>
      <c r="R388" s="1"/>
      <c r="S388" s="1"/>
    </row>
    <row r="389" spans="5:19" ht="15.75" customHeight="1">
      <c r="E389" s="1"/>
      <c r="F389" s="1"/>
      <c r="G389" s="1"/>
      <c r="H389" s="1"/>
      <c r="I389" s="1"/>
      <c r="J389" s="1"/>
      <c r="K389" s="2"/>
      <c r="L389" s="3"/>
      <c r="M389" s="3"/>
      <c r="N389" s="3"/>
      <c r="O389" s="3"/>
      <c r="P389" s="3"/>
      <c r="Q389" s="1"/>
      <c r="R389" s="1"/>
      <c r="S389" s="1"/>
    </row>
    <row r="390" spans="5:19" ht="15.75" customHeight="1">
      <c r="E390" s="1"/>
      <c r="F390" s="1"/>
      <c r="G390" s="1"/>
      <c r="H390" s="1"/>
      <c r="I390" s="1"/>
      <c r="J390" s="1"/>
      <c r="K390" s="2"/>
      <c r="L390" s="3"/>
      <c r="M390" s="3"/>
      <c r="N390" s="3"/>
      <c r="O390" s="3"/>
      <c r="P390" s="3"/>
      <c r="Q390" s="1"/>
      <c r="R390" s="1"/>
      <c r="S390" s="1"/>
    </row>
    <row r="391" spans="5:19" ht="15.75" customHeight="1">
      <c r="E391" s="1"/>
      <c r="F391" s="1"/>
      <c r="G391" s="1"/>
      <c r="H391" s="1"/>
      <c r="I391" s="1"/>
      <c r="J391" s="1"/>
      <c r="K391" s="2"/>
      <c r="L391" s="3"/>
      <c r="M391" s="3"/>
      <c r="N391" s="3"/>
      <c r="O391" s="3"/>
      <c r="P391" s="3"/>
      <c r="Q391" s="1"/>
      <c r="R391" s="1"/>
      <c r="S391" s="1"/>
    </row>
    <row r="392" spans="5:19" ht="15.75" customHeight="1">
      <c r="E392" s="1"/>
      <c r="F392" s="1"/>
      <c r="G392" s="1"/>
      <c r="H392" s="1"/>
      <c r="I392" s="1"/>
      <c r="J392" s="1"/>
      <c r="K392" s="2"/>
      <c r="L392" s="3"/>
      <c r="M392" s="3"/>
      <c r="N392" s="3"/>
      <c r="O392" s="3"/>
      <c r="P392" s="3"/>
      <c r="Q392" s="1"/>
      <c r="R392" s="1"/>
      <c r="S392" s="1"/>
    </row>
    <row r="393" spans="5:19" ht="15.75" customHeight="1">
      <c r="E393" s="1"/>
      <c r="F393" s="1"/>
      <c r="G393" s="1"/>
      <c r="H393" s="1"/>
      <c r="I393" s="1"/>
      <c r="J393" s="1"/>
      <c r="K393" s="2"/>
      <c r="L393" s="3"/>
      <c r="M393" s="3"/>
      <c r="N393" s="3"/>
      <c r="O393" s="3"/>
      <c r="P393" s="3"/>
      <c r="Q393" s="1"/>
      <c r="R393" s="1"/>
      <c r="S393" s="1"/>
    </row>
    <row r="394" spans="5:19" ht="15.75" customHeight="1">
      <c r="E394" s="1"/>
      <c r="F394" s="1"/>
      <c r="G394" s="1"/>
      <c r="H394" s="1"/>
      <c r="I394" s="1"/>
      <c r="J394" s="1"/>
      <c r="K394" s="2"/>
      <c r="L394" s="3"/>
      <c r="M394" s="3"/>
      <c r="N394" s="3"/>
      <c r="O394" s="3"/>
      <c r="P394" s="3"/>
      <c r="Q394" s="1"/>
      <c r="R394" s="1"/>
      <c r="S394" s="1"/>
    </row>
    <row r="395" spans="5:19" ht="15.75" customHeight="1">
      <c r="E395" s="1"/>
      <c r="F395" s="1"/>
      <c r="G395" s="1"/>
      <c r="H395" s="1"/>
      <c r="I395" s="1"/>
      <c r="J395" s="1"/>
      <c r="K395" s="2"/>
      <c r="L395" s="3"/>
      <c r="M395" s="3"/>
      <c r="N395" s="3"/>
      <c r="O395" s="3"/>
      <c r="P395" s="3"/>
      <c r="Q395" s="1"/>
      <c r="R395" s="1"/>
      <c r="S395" s="1"/>
    </row>
    <row r="396" spans="5:19" ht="15.75" customHeight="1">
      <c r="E396" s="1"/>
      <c r="F396" s="1"/>
      <c r="G396" s="1"/>
      <c r="H396" s="1"/>
      <c r="I396" s="1"/>
      <c r="J396" s="1"/>
      <c r="K396" s="2"/>
      <c r="L396" s="3"/>
      <c r="M396" s="3"/>
      <c r="N396" s="3"/>
      <c r="O396" s="3"/>
      <c r="P396" s="3"/>
      <c r="Q396" s="1"/>
      <c r="R396" s="1"/>
      <c r="S396" s="1"/>
    </row>
    <row r="397" spans="5:19" ht="15.75" customHeight="1">
      <c r="E397" s="1"/>
      <c r="F397" s="1"/>
      <c r="G397" s="1"/>
      <c r="H397" s="1"/>
      <c r="I397" s="1"/>
      <c r="J397" s="1"/>
      <c r="K397" s="2"/>
      <c r="L397" s="3"/>
      <c r="M397" s="3"/>
      <c r="N397" s="3"/>
      <c r="O397" s="3"/>
      <c r="P397" s="3"/>
      <c r="Q397" s="1"/>
      <c r="R397" s="1"/>
      <c r="S397" s="1"/>
    </row>
    <row r="398" spans="5:19" ht="15.75" customHeight="1">
      <c r="E398" s="1"/>
      <c r="F398" s="1"/>
      <c r="G398" s="1"/>
      <c r="H398" s="1"/>
      <c r="I398" s="1"/>
      <c r="J398" s="1"/>
      <c r="K398" s="2"/>
      <c r="L398" s="3"/>
      <c r="M398" s="3"/>
      <c r="N398" s="3"/>
      <c r="O398" s="3"/>
      <c r="P398" s="3"/>
      <c r="Q398" s="1"/>
      <c r="R398" s="1"/>
      <c r="S398" s="1"/>
    </row>
    <row r="399" spans="5:19" ht="15.75" customHeight="1">
      <c r="E399" s="1"/>
      <c r="F399" s="1"/>
      <c r="G399" s="1"/>
      <c r="H399" s="1"/>
      <c r="I399" s="1"/>
      <c r="J399" s="1"/>
      <c r="K399" s="2"/>
      <c r="L399" s="3"/>
      <c r="M399" s="3"/>
      <c r="N399" s="3"/>
      <c r="O399" s="3"/>
      <c r="P399" s="3"/>
      <c r="Q399" s="1"/>
      <c r="R399" s="1"/>
      <c r="S399" s="1"/>
    </row>
    <row r="400" spans="5:19" ht="15.75" customHeight="1">
      <c r="E400" s="1"/>
      <c r="F400" s="1"/>
      <c r="G400" s="1"/>
      <c r="H400" s="1"/>
      <c r="I400" s="1"/>
      <c r="J400" s="1"/>
      <c r="K400" s="2"/>
      <c r="L400" s="3"/>
      <c r="M400" s="3"/>
      <c r="N400" s="3"/>
      <c r="O400" s="3"/>
      <c r="P400" s="3"/>
      <c r="Q400" s="1"/>
      <c r="R400" s="1"/>
      <c r="S400" s="1"/>
    </row>
    <row r="401" spans="5:19" ht="15.75" customHeight="1">
      <c r="E401" s="1"/>
      <c r="F401" s="1"/>
      <c r="G401" s="1"/>
      <c r="H401" s="1"/>
      <c r="I401" s="1"/>
      <c r="J401" s="1"/>
      <c r="K401" s="2"/>
      <c r="L401" s="3"/>
      <c r="M401" s="3"/>
      <c r="N401" s="3"/>
      <c r="O401" s="3"/>
      <c r="P401" s="3"/>
      <c r="Q401" s="1"/>
      <c r="R401" s="1"/>
      <c r="S401" s="1"/>
    </row>
    <row r="402" spans="5:19" ht="15.75" customHeight="1">
      <c r="E402" s="1"/>
      <c r="F402" s="1"/>
      <c r="G402" s="1"/>
      <c r="H402" s="1"/>
      <c r="I402" s="1"/>
      <c r="J402" s="1"/>
      <c r="K402" s="2"/>
      <c r="L402" s="3"/>
      <c r="M402" s="3"/>
      <c r="N402" s="3"/>
      <c r="O402" s="3"/>
      <c r="P402" s="3"/>
      <c r="Q402" s="1"/>
      <c r="R402" s="1"/>
      <c r="S402" s="1"/>
    </row>
    <row r="403" spans="5:19" ht="15.75" customHeight="1">
      <c r="E403" s="1"/>
      <c r="F403" s="1"/>
      <c r="G403" s="1"/>
      <c r="H403" s="1"/>
      <c r="I403" s="1"/>
      <c r="J403" s="1"/>
      <c r="K403" s="2"/>
      <c r="L403" s="3"/>
      <c r="M403" s="3"/>
      <c r="N403" s="3"/>
      <c r="O403" s="3"/>
      <c r="P403" s="3"/>
      <c r="Q403" s="1"/>
      <c r="R403" s="1"/>
      <c r="S403" s="1"/>
    </row>
    <row r="404" spans="5:19" ht="15.75" customHeight="1">
      <c r="E404" s="1"/>
      <c r="F404" s="1"/>
      <c r="G404" s="1"/>
      <c r="H404" s="1"/>
      <c r="I404" s="1"/>
      <c r="J404" s="1"/>
      <c r="K404" s="2"/>
      <c r="L404" s="3"/>
      <c r="M404" s="3"/>
      <c r="N404" s="3"/>
      <c r="O404" s="3"/>
      <c r="P404" s="3"/>
      <c r="Q404" s="1"/>
      <c r="R404" s="1"/>
      <c r="S404" s="1"/>
    </row>
    <row r="405" spans="5:19" ht="15.75" customHeight="1">
      <c r="E405" s="1"/>
      <c r="F405" s="1"/>
      <c r="G405" s="1"/>
      <c r="H405" s="1"/>
      <c r="I405" s="1"/>
      <c r="J405" s="1"/>
      <c r="K405" s="2"/>
      <c r="L405" s="3"/>
      <c r="M405" s="3"/>
      <c r="N405" s="3"/>
      <c r="O405" s="3"/>
      <c r="P405" s="3"/>
      <c r="Q405" s="1"/>
      <c r="R405" s="1"/>
      <c r="S405" s="1"/>
    </row>
    <row r="406" spans="5:19" ht="15.75" customHeight="1">
      <c r="E406" s="1"/>
      <c r="F406" s="1"/>
      <c r="G406" s="1"/>
      <c r="H406" s="1"/>
      <c r="I406" s="1"/>
      <c r="J406" s="1"/>
      <c r="K406" s="2"/>
      <c r="L406" s="3"/>
      <c r="M406" s="3"/>
      <c r="N406" s="3"/>
      <c r="O406" s="3"/>
      <c r="P406" s="3"/>
      <c r="Q406" s="1"/>
      <c r="R406" s="1"/>
      <c r="S406" s="1"/>
    </row>
    <row r="407" spans="5:19" ht="15.75" customHeight="1">
      <c r="E407" s="1"/>
      <c r="F407" s="1"/>
      <c r="G407" s="1"/>
      <c r="H407" s="1"/>
      <c r="I407" s="1"/>
      <c r="J407" s="1"/>
      <c r="K407" s="2"/>
      <c r="L407" s="3"/>
      <c r="M407" s="3"/>
      <c r="N407" s="3"/>
      <c r="O407" s="3"/>
      <c r="P407" s="3"/>
      <c r="Q407" s="1"/>
      <c r="R407" s="1"/>
      <c r="S407" s="1"/>
    </row>
    <row r="408" spans="5:19" ht="15.75" customHeight="1">
      <c r="E408" s="1"/>
      <c r="F408" s="1"/>
      <c r="G408" s="1"/>
      <c r="H408" s="1"/>
      <c r="I408" s="1"/>
      <c r="J408" s="1"/>
      <c r="K408" s="2"/>
      <c r="L408" s="3"/>
      <c r="M408" s="3"/>
      <c r="N408" s="3"/>
      <c r="O408" s="3"/>
      <c r="P408" s="3"/>
      <c r="Q408" s="1"/>
      <c r="R408" s="1"/>
      <c r="S408" s="1"/>
    </row>
    <row r="409" spans="5:19" ht="15.75" customHeight="1">
      <c r="E409" s="1"/>
      <c r="F409" s="1"/>
      <c r="G409" s="1"/>
      <c r="H409" s="1"/>
      <c r="I409" s="1"/>
      <c r="J409" s="1"/>
      <c r="K409" s="2"/>
      <c r="L409" s="3"/>
      <c r="M409" s="3"/>
      <c r="N409" s="3"/>
      <c r="O409" s="3"/>
      <c r="P409" s="3"/>
      <c r="Q409" s="1"/>
      <c r="R409" s="1"/>
      <c r="S409" s="1"/>
    </row>
    <row r="410" spans="5:19" ht="15.75" customHeight="1">
      <c r="E410" s="1"/>
      <c r="F410" s="1"/>
      <c r="G410" s="1"/>
      <c r="H410" s="1"/>
      <c r="I410" s="1"/>
      <c r="J410" s="1"/>
      <c r="K410" s="2"/>
      <c r="L410" s="3"/>
      <c r="M410" s="3"/>
      <c r="N410" s="3"/>
      <c r="O410" s="3"/>
      <c r="P410" s="3"/>
      <c r="Q410" s="1"/>
      <c r="R410" s="1"/>
      <c r="S410" s="1"/>
    </row>
    <row r="411" spans="5:19" ht="15.75" customHeight="1">
      <c r="E411" s="1"/>
      <c r="F411" s="1"/>
      <c r="G411" s="1"/>
      <c r="H411" s="1"/>
      <c r="I411" s="1"/>
      <c r="J411" s="1"/>
      <c r="K411" s="2"/>
      <c r="L411" s="3"/>
      <c r="M411" s="3"/>
      <c r="N411" s="3"/>
      <c r="O411" s="3"/>
      <c r="P411" s="3"/>
      <c r="Q411" s="1"/>
      <c r="R411" s="1"/>
      <c r="S411" s="1"/>
    </row>
    <row r="412" spans="5:19" ht="15.75" customHeight="1">
      <c r="E412" s="1"/>
      <c r="F412" s="1"/>
      <c r="G412" s="1"/>
      <c r="H412" s="1"/>
      <c r="I412" s="1"/>
      <c r="J412" s="1"/>
      <c r="K412" s="2"/>
      <c r="L412" s="3"/>
      <c r="M412" s="3"/>
      <c r="N412" s="3"/>
      <c r="O412" s="3"/>
      <c r="P412" s="3"/>
      <c r="Q412" s="1"/>
      <c r="R412" s="1"/>
      <c r="S412" s="1"/>
    </row>
    <row r="413" spans="5:19" ht="15.75" customHeight="1">
      <c r="E413" s="1"/>
      <c r="F413" s="1"/>
      <c r="G413" s="1"/>
      <c r="H413" s="1"/>
      <c r="I413" s="1"/>
      <c r="J413" s="1"/>
      <c r="K413" s="2"/>
      <c r="L413" s="3"/>
      <c r="M413" s="3"/>
      <c r="N413" s="3"/>
      <c r="O413" s="3"/>
      <c r="P413" s="3"/>
      <c r="Q413" s="1"/>
      <c r="R413" s="1"/>
      <c r="S413" s="1"/>
    </row>
    <row r="414" spans="5:19" ht="15.75" customHeight="1">
      <c r="E414" s="1"/>
      <c r="F414" s="1"/>
      <c r="G414" s="1"/>
      <c r="H414" s="1"/>
      <c r="I414" s="1"/>
      <c r="J414" s="1"/>
      <c r="K414" s="2"/>
      <c r="L414" s="3"/>
      <c r="M414" s="3"/>
      <c r="N414" s="3"/>
      <c r="O414" s="3"/>
      <c r="P414" s="3"/>
      <c r="Q414" s="1"/>
      <c r="R414" s="1"/>
      <c r="S414" s="1"/>
    </row>
    <row r="415" spans="5:19" ht="15.75" customHeight="1">
      <c r="E415" s="1"/>
      <c r="F415" s="1"/>
      <c r="G415" s="1"/>
      <c r="H415" s="1"/>
      <c r="I415" s="1"/>
      <c r="J415" s="1"/>
      <c r="K415" s="2"/>
      <c r="L415" s="3"/>
      <c r="M415" s="3"/>
      <c r="N415" s="3"/>
      <c r="O415" s="3"/>
      <c r="P415" s="3"/>
      <c r="Q415" s="1"/>
      <c r="R415" s="1"/>
      <c r="S415" s="1"/>
    </row>
    <row r="416" spans="5:19" ht="15.75" customHeight="1">
      <c r="E416" s="1"/>
      <c r="F416" s="1"/>
      <c r="G416" s="1"/>
      <c r="H416" s="1"/>
      <c r="I416" s="1"/>
      <c r="J416" s="1"/>
      <c r="K416" s="2"/>
      <c r="L416" s="3"/>
      <c r="M416" s="3"/>
      <c r="N416" s="3"/>
      <c r="O416" s="3"/>
      <c r="P416" s="3"/>
      <c r="Q416" s="1"/>
      <c r="R416" s="1"/>
      <c r="S416" s="1"/>
    </row>
    <row r="417" spans="5:19" ht="15.75" customHeight="1">
      <c r="E417" s="1"/>
      <c r="F417" s="1"/>
      <c r="G417" s="1"/>
      <c r="H417" s="1"/>
      <c r="I417" s="1"/>
      <c r="J417" s="1"/>
      <c r="K417" s="2"/>
      <c r="L417" s="3"/>
      <c r="M417" s="3"/>
      <c r="N417" s="3"/>
      <c r="O417" s="3"/>
      <c r="P417" s="3"/>
      <c r="Q417" s="1"/>
      <c r="R417" s="1"/>
      <c r="S417" s="1"/>
    </row>
    <row r="418" spans="5:19" ht="15.75" customHeight="1">
      <c r="E418" s="1"/>
      <c r="F418" s="1"/>
      <c r="G418" s="1"/>
      <c r="H418" s="1"/>
      <c r="I418" s="1"/>
      <c r="J418" s="1"/>
      <c r="K418" s="2"/>
      <c r="L418" s="3"/>
      <c r="M418" s="3"/>
      <c r="N418" s="3"/>
      <c r="O418" s="3"/>
      <c r="P418" s="3"/>
      <c r="Q418" s="1"/>
      <c r="R418" s="1"/>
      <c r="S418" s="1"/>
    </row>
    <row r="419" spans="5:19" ht="15.75" customHeight="1">
      <c r="E419" s="1"/>
      <c r="F419" s="1"/>
      <c r="G419" s="1"/>
      <c r="H419" s="1"/>
      <c r="I419" s="1"/>
      <c r="J419" s="1"/>
      <c r="K419" s="2"/>
      <c r="L419" s="3"/>
      <c r="M419" s="3"/>
      <c r="N419" s="3"/>
      <c r="O419" s="3"/>
      <c r="P419" s="3"/>
      <c r="Q419" s="1"/>
      <c r="R419" s="1"/>
      <c r="S419" s="1"/>
    </row>
    <row r="420" spans="5:19" ht="15.75" customHeight="1">
      <c r="E420" s="1"/>
      <c r="F420" s="1"/>
      <c r="G420" s="1"/>
      <c r="H420" s="1"/>
      <c r="I420" s="1"/>
      <c r="J420" s="1"/>
      <c r="K420" s="2"/>
      <c r="L420" s="3"/>
      <c r="M420" s="3"/>
      <c r="N420" s="3"/>
      <c r="O420" s="3"/>
      <c r="P420" s="3"/>
      <c r="Q420" s="1"/>
      <c r="R420" s="1"/>
      <c r="S420" s="1"/>
    </row>
    <row r="421" spans="5:19" ht="15.75" customHeight="1">
      <c r="E421" s="1"/>
      <c r="F421" s="1"/>
      <c r="G421" s="1"/>
      <c r="H421" s="1"/>
      <c r="I421" s="1"/>
      <c r="J421" s="1"/>
      <c r="K421" s="2"/>
      <c r="L421" s="3"/>
      <c r="M421" s="3"/>
      <c r="N421" s="3"/>
      <c r="O421" s="3"/>
      <c r="P421" s="3"/>
      <c r="Q421" s="1"/>
      <c r="R421" s="1"/>
      <c r="S421" s="1"/>
    </row>
    <row r="422" spans="5:19" ht="15.75" customHeight="1">
      <c r="E422" s="1"/>
      <c r="F422" s="1"/>
      <c r="G422" s="1"/>
      <c r="H422" s="1"/>
      <c r="I422" s="1"/>
      <c r="J422" s="1"/>
      <c r="K422" s="2"/>
      <c r="L422" s="3"/>
      <c r="M422" s="3"/>
      <c r="N422" s="3"/>
      <c r="O422" s="3"/>
      <c r="P422" s="3"/>
      <c r="Q422" s="1"/>
      <c r="R422" s="1"/>
      <c r="S422" s="1"/>
    </row>
    <row r="423" spans="5:19" ht="15.75" customHeight="1">
      <c r="E423" s="1"/>
      <c r="F423" s="1"/>
      <c r="G423" s="1"/>
      <c r="H423" s="1"/>
      <c r="I423" s="1"/>
      <c r="J423" s="1"/>
      <c r="K423" s="2"/>
      <c r="L423" s="3"/>
      <c r="M423" s="3"/>
      <c r="N423" s="3"/>
      <c r="O423" s="3"/>
      <c r="P423" s="3"/>
      <c r="Q423" s="1"/>
      <c r="R423" s="1"/>
      <c r="S423" s="1"/>
    </row>
    <row r="424" spans="5:19" ht="15.75" customHeight="1">
      <c r="E424" s="1"/>
      <c r="F424" s="1"/>
      <c r="G424" s="1"/>
      <c r="H424" s="1"/>
      <c r="I424" s="1"/>
      <c r="J424" s="1"/>
      <c r="K424" s="2"/>
      <c r="L424" s="3"/>
      <c r="M424" s="3"/>
      <c r="N424" s="3"/>
      <c r="O424" s="3"/>
      <c r="P424" s="3"/>
      <c r="Q424" s="1"/>
      <c r="R424" s="1"/>
      <c r="S424" s="1"/>
    </row>
    <row r="425" spans="5:19" ht="15.75" customHeight="1">
      <c r="E425" s="1"/>
      <c r="F425" s="1"/>
      <c r="G425" s="1"/>
      <c r="H425" s="1"/>
      <c r="I425" s="1"/>
      <c r="J425" s="1"/>
      <c r="K425" s="2"/>
      <c r="L425" s="3"/>
      <c r="M425" s="3"/>
      <c r="N425" s="3"/>
      <c r="O425" s="3"/>
      <c r="P425" s="3"/>
      <c r="Q425" s="1"/>
      <c r="R425" s="1"/>
      <c r="S425" s="1"/>
    </row>
    <row r="426" spans="5:19" ht="15.75" customHeight="1">
      <c r="E426" s="1"/>
      <c r="F426" s="1"/>
      <c r="G426" s="1"/>
      <c r="H426" s="1"/>
      <c r="I426" s="1"/>
      <c r="J426" s="1"/>
      <c r="K426" s="2"/>
      <c r="L426" s="3"/>
      <c r="M426" s="3"/>
      <c r="N426" s="3"/>
      <c r="O426" s="3"/>
      <c r="P426" s="3"/>
      <c r="Q426" s="1"/>
      <c r="R426" s="1"/>
      <c r="S426" s="1"/>
    </row>
    <row r="427" spans="5:19" ht="15.75" customHeight="1">
      <c r="E427" s="1"/>
      <c r="F427" s="1"/>
      <c r="G427" s="1"/>
      <c r="H427" s="1"/>
      <c r="I427" s="1"/>
      <c r="J427" s="1"/>
      <c r="K427" s="2"/>
      <c r="L427" s="3"/>
      <c r="M427" s="3"/>
      <c r="N427" s="3"/>
      <c r="O427" s="3"/>
      <c r="P427" s="3"/>
      <c r="Q427" s="1"/>
      <c r="R427" s="1"/>
      <c r="S427" s="1"/>
    </row>
    <row r="428" spans="5:19" ht="15.75" customHeight="1">
      <c r="E428" s="1"/>
      <c r="F428" s="1"/>
      <c r="G428" s="1"/>
      <c r="H428" s="1"/>
      <c r="I428" s="1"/>
      <c r="J428" s="1"/>
      <c r="K428" s="2"/>
      <c r="L428" s="3"/>
      <c r="M428" s="3"/>
      <c r="N428" s="3"/>
      <c r="O428" s="3"/>
      <c r="P428" s="3"/>
      <c r="Q428" s="1"/>
      <c r="R428" s="1"/>
      <c r="S428" s="1"/>
    </row>
    <row r="429" spans="5:19" ht="15.75" customHeight="1">
      <c r="E429" s="1"/>
      <c r="F429" s="1"/>
      <c r="G429" s="1"/>
      <c r="H429" s="1"/>
      <c r="I429" s="1"/>
      <c r="J429" s="1"/>
      <c r="K429" s="2"/>
      <c r="L429" s="3"/>
      <c r="M429" s="3"/>
      <c r="N429" s="3"/>
      <c r="O429" s="3"/>
      <c r="P429" s="3"/>
      <c r="Q429" s="1"/>
      <c r="R429" s="1"/>
      <c r="S429" s="1"/>
    </row>
    <row r="430" spans="5:19" ht="15.75" customHeight="1">
      <c r="E430" s="1"/>
      <c r="F430" s="1"/>
      <c r="G430" s="1"/>
      <c r="H430" s="1"/>
      <c r="I430" s="1"/>
      <c r="J430" s="1"/>
      <c r="K430" s="2"/>
      <c r="L430" s="3"/>
      <c r="M430" s="3"/>
      <c r="N430" s="3"/>
      <c r="O430" s="3"/>
      <c r="P430" s="3"/>
      <c r="Q430" s="1"/>
      <c r="R430" s="1"/>
      <c r="S430" s="1"/>
    </row>
    <row r="431" spans="5:19" ht="15.75" customHeight="1">
      <c r="E431" s="1"/>
      <c r="F431" s="1"/>
      <c r="G431" s="1"/>
      <c r="H431" s="1"/>
      <c r="I431" s="1"/>
      <c r="J431" s="1"/>
      <c r="K431" s="2"/>
      <c r="L431" s="3"/>
      <c r="M431" s="3"/>
      <c r="N431" s="3"/>
      <c r="O431" s="3"/>
      <c r="P431" s="3"/>
      <c r="Q431" s="1"/>
      <c r="R431" s="1"/>
      <c r="S431" s="1"/>
    </row>
    <row r="432" spans="5:19" ht="15.75" customHeight="1">
      <c r="E432" s="1"/>
      <c r="F432" s="1"/>
      <c r="G432" s="1"/>
      <c r="H432" s="1"/>
      <c r="I432" s="1"/>
      <c r="J432" s="1"/>
      <c r="K432" s="2"/>
      <c r="L432" s="3"/>
      <c r="M432" s="3"/>
      <c r="N432" s="3"/>
      <c r="O432" s="3"/>
      <c r="P432" s="3"/>
      <c r="Q432" s="1"/>
      <c r="R432" s="1"/>
      <c r="S432" s="1"/>
    </row>
    <row r="433" spans="5:19" ht="15.75" customHeight="1">
      <c r="E433" s="1"/>
      <c r="F433" s="1"/>
      <c r="G433" s="1"/>
      <c r="H433" s="1"/>
      <c r="I433" s="1"/>
      <c r="J433" s="1"/>
      <c r="K433" s="2"/>
      <c r="L433" s="3"/>
      <c r="M433" s="3"/>
      <c r="N433" s="3"/>
      <c r="O433" s="3"/>
      <c r="P433" s="3"/>
      <c r="Q433" s="1"/>
      <c r="R433" s="1"/>
      <c r="S433" s="1"/>
    </row>
    <row r="434" spans="5:19" ht="15.75" customHeight="1">
      <c r="E434" s="1"/>
      <c r="F434" s="1"/>
      <c r="G434" s="1"/>
      <c r="H434" s="1"/>
      <c r="I434" s="1"/>
      <c r="J434" s="1"/>
      <c r="K434" s="2"/>
      <c r="L434" s="3"/>
      <c r="M434" s="3"/>
      <c r="N434" s="3"/>
      <c r="O434" s="3"/>
      <c r="P434" s="3"/>
      <c r="Q434" s="1"/>
      <c r="R434" s="1"/>
      <c r="S434" s="1"/>
    </row>
    <row r="435" spans="5:19" ht="15.75" customHeight="1">
      <c r="E435" s="1"/>
      <c r="F435" s="1"/>
      <c r="G435" s="1"/>
      <c r="H435" s="1"/>
      <c r="I435" s="1"/>
      <c r="J435" s="1"/>
      <c r="K435" s="2"/>
      <c r="L435" s="3"/>
      <c r="M435" s="3"/>
      <c r="N435" s="3"/>
      <c r="O435" s="3"/>
      <c r="P435" s="3"/>
      <c r="Q435" s="1"/>
      <c r="R435" s="1"/>
      <c r="S435" s="1"/>
    </row>
    <row r="436" spans="5:19" ht="15.75" customHeight="1">
      <c r="E436" s="1"/>
      <c r="F436" s="1"/>
      <c r="G436" s="1"/>
      <c r="H436" s="1"/>
      <c r="I436" s="1"/>
      <c r="J436" s="1"/>
      <c r="K436" s="2"/>
      <c r="L436" s="3"/>
      <c r="M436" s="3"/>
      <c r="N436" s="3"/>
      <c r="O436" s="3"/>
      <c r="P436" s="3"/>
      <c r="Q436" s="1"/>
      <c r="R436" s="1"/>
      <c r="S436" s="1"/>
    </row>
    <row r="437" spans="5:19" ht="15.75" customHeight="1">
      <c r="E437" s="1"/>
      <c r="F437" s="1"/>
      <c r="G437" s="1"/>
      <c r="H437" s="1"/>
      <c r="I437" s="1"/>
      <c r="J437" s="1"/>
      <c r="K437" s="2"/>
      <c r="L437" s="3"/>
      <c r="M437" s="3"/>
      <c r="N437" s="3"/>
      <c r="O437" s="3"/>
      <c r="P437" s="3"/>
      <c r="Q437" s="1"/>
      <c r="R437" s="1"/>
      <c r="S437" s="1"/>
    </row>
    <row r="438" spans="5:19" ht="15.75" customHeight="1">
      <c r="E438" s="1"/>
      <c r="F438" s="1"/>
      <c r="G438" s="1"/>
      <c r="H438" s="1"/>
      <c r="I438" s="1"/>
      <c r="J438" s="1"/>
      <c r="K438" s="2"/>
      <c r="L438" s="3"/>
      <c r="M438" s="3"/>
      <c r="N438" s="3"/>
      <c r="O438" s="3"/>
      <c r="P438" s="3"/>
      <c r="Q438" s="1"/>
      <c r="R438" s="1"/>
      <c r="S438" s="1"/>
    </row>
    <row r="439" spans="5:19" ht="15.75" customHeight="1">
      <c r="E439" s="1"/>
      <c r="F439" s="1"/>
      <c r="G439" s="1"/>
      <c r="H439" s="1"/>
      <c r="I439" s="1"/>
      <c r="J439" s="1"/>
      <c r="K439" s="2"/>
      <c r="L439" s="3"/>
      <c r="M439" s="3"/>
      <c r="N439" s="3"/>
      <c r="O439" s="3"/>
      <c r="P439" s="3"/>
      <c r="Q439" s="1"/>
      <c r="R439" s="1"/>
      <c r="S439" s="1"/>
    </row>
    <row r="440" spans="5:19" ht="15.75" customHeight="1">
      <c r="E440" s="1"/>
      <c r="F440" s="1"/>
      <c r="G440" s="1"/>
      <c r="H440" s="1"/>
      <c r="I440" s="1"/>
      <c r="J440" s="1"/>
      <c r="K440" s="2"/>
      <c r="L440" s="3"/>
      <c r="M440" s="3"/>
      <c r="N440" s="3"/>
      <c r="O440" s="3"/>
      <c r="P440" s="3"/>
      <c r="Q440" s="1"/>
      <c r="R440" s="1"/>
      <c r="S440" s="1"/>
    </row>
    <row r="441" spans="5:19" ht="15.75" customHeight="1">
      <c r="E441" s="1"/>
      <c r="F441" s="1"/>
      <c r="G441" s="1"/>
      <c r="H441" s="1"/>
      <c r="I441" s="1"/>
      <c r="J441" s="1"/>
      <c r="K441" s="2"/>
      <c r="L441" s="3"/>
      <c r="M441" s="3"/>
      <c r="N441" s="3"/>
      <c r="O441" s="3"/>
      <c r="P441" s="3"/>
      <c r="Q441" s="1"/>
      <c r="R441" s="1"/>
      <c r="S441" s="1"/>
    </row>
    <row r="442" spans="5:19" ht="15.75" customHeight="1">
      <c r="E442" s="1"/>
      <c r="F442" s="1"/>
      <c r="G442" s="1"/>
      <c r="H442" s="1"/>
      <c r="I442" s="1"/>
      <c r="J442" s="1"/>
      <c r="K442" s="2"/>
      <c r="L442" s="3"/>
      <c r="M442" s="3"/>
      <c r="N442" s="3"/>
      <c r="O442" s="3"/>
      <c r="P442" s="3"/>
      <c r="Q442" s="1"/>
      <c r="R442" s="1"/>
      <c r="S442" s="1"/>
    </row>
    <row r="443" spans="5:19" ht="15.75" customHeight="1">
      <c r="E443" s="1"/>
      <c r="F443" s="1"/>
      <c r="G443" s="1"/>
      <c r="H443" s="1"/>
      <c r="I443" s="1"/>
      <c r="J443" s="1"/>
      <c r="K443" s="2"/>
      <c r="L443" s="3"/>
      <c r="M443" s="3"/>
      <c r="N443" s="3"/>
      <c r="O443" s="3"/>
      <c r="P443" s="3"/>
      <c r="Q443" s="1"/>
      <c r="R443" s="1"/>
      <c r="S443" s="1"/>
    </row>
    <row r="444" spans="5:19" ht="15.75" customHeight="1">
      <c r="E444" s="1"/>
      <c r="F444" s="1"/>
      <c r="G444" s="1"/>
      <c r="H444" s="1"/>
      <c r="I444" s="1"/>
      <c r="J444" s="1"/>
      <c r="K444" s="2"/>
      <c r="L444" s="3"/>
      <c r="M444" s="3"/>
      <c r="N444" s="3"/>
      <c r="O444" s="3"/>
      <c r="P444" s="3"/>
      <c r="Q444" s="1"/>
      <c r="R444" s="1"/>
      <c r="S444" s="1"/>
    </row>
    <row r="445" spans="5:19" ht="15.75" customHeight="1">
      <c r="E445" s="1"/>
      <c r="F445" s="1"/>
      <c r="G445" s="1"/>
      <c r="H445" s="1"/>
      <c r="I445" s="1"/>
      <c r="J445" s="1"/>
      <c r="K445" s="2"/>
      <c r="L445" s="3"/>
      <c r="M445" s="3"/>
      <c r="N445" s="3"/>
      <c r="O445" s="3"/>
      <c r="P445" s="3"/>
      <c r="Q445" s="1"/>
      <c r="R445" s="1"/>
      <c r="S445" s="1"/>
    </row>
    <row r="446" spans="5:19" ht="15.75" customHeight="1">
      <c r="E446" s="1"/>
      <c r="F446" s="1"/>
      <c r="G446" s="1"/>
      <c r="H446" s="1"/>
      <c r="I446" s="1"/>
      <c r="J446" s="1"/>
      <c r="K446" s="2"/>
      <c r="L446" s="3"/>
      <c r="M446" s="3"/>
      <c r="N446" s="3"/>
      <c r="O446" s="3"/>
      <c r="P446" s="3"/>
      <c r="Q446" s="1"/>
      <c r="R446" s="1"/>
      <c r="S446" s="1"/>
    </row>
    <row r="447" spans="5:19" ht="15.75" customHeight="1">
      <c r="E447" s="1"/>
      <c r="F447" s="1"/>
      <c r="G447" s="1"/>
      <c r="H447" s="1"/>
      <c r="I447" s="1"/>
      <c r="J447" s="1"/>
      <c r="K447" s="2"/>
      <c r="L447" s="3"/>
      <c r="M447" s="3"/>
      <c r="N447" s="3"/>
      <c r="O447" s="3"/>
      <c r="P447" s="3"/>
      <c r="Q447" s="1"/>
      <c r="R447" s="1"/>
      <c r="S447" s="1"/>
    </row>
    <row r="448" spans="5:19" ht="15.75" customHeight="1">
      <c r="E448" s="1"/>
      <c r="F448" s="1"/>
      <c r="G448" s="1"/>
      <c r="H448" s="1"/>
      <c r="I448" s="1"/>
      <c r="J448" s="1"/>
      <c r="K448" s="2"/>
      <c r="L448" s="3"/>
      <c r="M448" s="3"/>
      <c r="N448" s="3"/>
      <c r="O448" s="3"/>
      <c r="P448" s="3"/>
      <c r="Q448" s="1"/>
      <c r="R448" s="1"/>
      <c r="S448" s="1"/>
    </row>
    <row r="449" spans="5:19" ht="15.75" customHeight="1">
      <c r="E449" s="1"/>
      <c r="F449" s="1"/>
      <c r="G449" s="1"/>
      <c r="H449" s="1"/>
      <c r="I449" s="1"/>
      <c r="J449" s="1"/>
      <c r="K449" s="2"/>
      <c r="L449" s="3"/>
      <c r="M449" s="3"/>
      <c r="N449" s="3"/>
      <c r="O449" s="3"/>
      <c r="P449" s="3"/>
      <c r="Q449" s="1"/>
      <c r="R449" s="1"/>
      <c r="S449" s="1"/>
    </row>
    <row r="450" spans="5:19" ht="15.75" customHeight="1">
      <c r="E450" s="1"/>
      <c r="F450" s="1"/>
      <c r="G450" s="1"/>
      <c r="H450" s="1"/>
      <c r="I450" s="1"/>
      <c r="J450" s="1"/>
      <c r="K450" s="2"/>
      <c r="L450" s="3"/>
      <c r="M450" s="3"/>
      <c r="N450" s="3"/>
      <c r="O450" s="3"/>
      <c r="P450" s="3"/>
      <c r="Q450" s="1"/>
      <c r="R450" s="1"/>
      <c r="S450" s="1"/>
    </row>
    <row r="451" spans="5:19" ht="15.75" customHeight="1">
      <c r="E451" s="1"/>
      <c r="F451" s="1"/>
      <c r="G451" s="1"/>
      <c r="H451" s="1"/>
      <c r="I451" s="1"/>
      <c r="J451" s="1"/>
      <c r="K451" s="2"/>
      <c r="L451" s="3"/>
      <c r="M451" s="3"/>
      <c r="N451" s="3"/>
      <c r="O451" s="3"/>
      <c r="P451" s="3"/>
      <c r="Q451" s="1"/>
      <c r="R451" s="1"/>
      <c r="S451" s="1"/>
    </row>
    <row r="452" spans="5:19" ht="15.75" customHeight="1">
      <c r="E452" s="1"/>
      <c r="F452" s="1"/>
      <c r="G452" s="1"/>
      <c r="H452" s="1"/>
      <c r="I452" s="1"/>
      <c r="J452" s="1"/>
      <c r="K452" s="2"/>
      <c r="L452" s="3"/>
      <c r="M452" s="3"/>
      <c r="N452" s="3"/>
      <c r="O452" s="3"/>
      <c r="P452" s="3"/>
      <c r="Q452" s="1"/>
      <c r="R452" s="1"/>
      <c r="S452" s="1"/>
    </row>
    <row r="453" spans="5:19" ht="15.75" customHeight="1">
      <c r="E453" s="1"/>
      <c r="F453" s="1"/>
      <c r="G453" s="1"/>
      <c r="H453" s="1"/>
      <c r="I453" s="1"/>
      <c r="J453" s="1"/>
      <c r="K453" s="2"/>
      <c r="L453" s="3"/>
      <c r="M453" s="3"/>
      <c r="N453" s="3"/>
      <c r="O453" s="3"/>
      <c r="P453" s="3"/>
      <c r="Q453" s="1"/>
      <c r="R453" s="1"/>
      <c r="S453" s="1"/>
    </row>
    <row r="454" spans="5:19" ht="15.75" customHeight="1">
      <c r="E454" s="1"/>
      <c r="F454" s="1"/>
      <c r="G454" s="1"/>
      <c r="H454" s="1"/>
      <c r="I454" s="1"/>
      <c r="J454" s="1"/>
      <c r="K454" s="2"/>
      <c r="L454" s="3"/>
      <c r="M454" s="3"/>
      <c r="N454" s="3"/>
      <c r="O454" s="3"/>
      <c r="P454" s="3"/>
      <c r="Q454" s="1"/>
      <c r="R454" s="1"/>
      <c r="S454" s="1"/>
    </row>
    <row r="455" spans="5:19" ht="15.75" customHeight="1">
      <c r="E455" s="1"/>
      <c r="F455" s="1"/>
      <c r="G455" s="1"/>
      <c r="H455" s="1"/>
      <c r="I455" s="1"/>
      <c r="J455" s="1"/>
      <c r="K455" s="2"/>
      <c r="L455" s="3"/>
      <c r="M455" s="3"/>
      <c r="N455" s="3"/>
      <c r="O455" s="3"/>
      <c r="P455" s="3"/>
      <c r="Q455" s="1"/>
      <c r="R455" s="1"/>
      <c r="S455" s="1"/>
    </row>
    <row r="456" spans="5:19" ht="15.75" customHeight="1">
      <c r="E456" s="1"/>
      <c r="F456" s="1"/>
      <c r="G456" s="1"/>
      <c r="H456" s="1"/>
      <c r="I456" s="1"/>
      <c r="J456" s="1"/>
      <c r="K456" s="2"/>
      <c r="L456" s="3"/>
      <c r="M456" s="3"/>
      <c r="N456" s="3"/>
      <c r="O456" s="3"/>
      <c r="P456" s="3"/>
      <c r="Q456" s="1"/>
      <c r="R456" s="1"/>
      <c r="S456" s="1"/>
    </row>
    <row r="457" spans="5:19" ht="15.75" customHeight="1">
      <c r="E457" s="1"/>
      <c r="F457" s="1"/>
      <c r="G457" s="1"/>
      <c r="H457" s="1"/>
      <c r="I457" s="1"/>
      <c r="J457" s="1"/>
      <c r="K457" s="2"/>
      <c r="L457" s="3"/>
      <c r="M457" s="3"/>
      <c r="N457" s="3"/>
      <c r="O457" s="3"/>
      <c r="P457" s="3"/>
      <c r="Q457" s="1"/>
      <c r="R457" s="1"/>
      <c r="S457" s="1"/>
    </row>
    <row r="458" spans="5:19" ht="15.75" customHeight="1">
      <c r="E458" s="1"/>
      <c r="F458" s="1"/>
      <c r="G458" s="1"/>
      <c r="H458" s="1"/>
      <c r="I458" s="1"/>
      <c r="J458" s="1"/>
      <c r="K458" s="2"/>
      <c r="L458" s="3"/>
      <c r="M458" s="3"/>
      <c r="N458" s="3"/>
      <c r="O458" s="3"/>
      <c r="P458" s="3"/>
      <c r="Q458" s="1"/>
      <c r="R458" s="1"/>
      <c r="S458" s="1"/>
    </row>
    <row r="459" spans="5:19" ht="15.75" customHeight="1">
      <c r="E459" s="1"/>
      <c r="F459" s="1"/>
      <c r="G459" s="1"/>
      <c r="H459" s="1"/>
      <c r="I459" s="1"/>
      <c r="J459" s="1"/>
      <c r="K459" s="2"/>
      <c r="L459" s="3"/>
      <c r="M459" s="3"/>
      <c r="N459" s="3"/>
      <c r="O459" s="3"/>
      <c r="P459" s="3"/>
      <c r="Q459" s="1"/>
      <c r="R459" s="1"/>
      <c r="S459" s="1"/>
    </row>
    <row r="460" spans="5:19" ht="15.75" customHeight="1">
      <c r="E460" s="1"/>
      <c r="F460" s="1"/>
      <c r="G460" s="1"/>
      <c r="H460" s="1"/>
      <c r="I460" s="1"/>
      <c r="J460" s="1"/>
      <c r="K460" s="2"/>
      <c r="L460" s="3"/>
      <c r="M460" s="3"/>
      <c r="N460" s="3"/>
      <c r="O460" s="3"/>
      <c r="P460" s="3"/>
      <c r="Q460" s="1"/>
      <c r="R460" s="1"/>
      <c r="S460" s="1"/>
    </row>
    <row r="461" spans="5:19" ht="15.75" customHeight="1">
      <c r="E461" s="1"/>
      <c r="F461" s="1"/>
      <c r="G461" s="1"/>
      <c r="H461" s="1"/>
      <c r="I461" s="1"/>
      <c r="J461" s="1"/>
      <c r="K461" s="2"/>
      <c r="L461" s="3"/>
      <c r="M461" s="3"/>
      <c r="N461" s="3"/>
      <c r="O461" s="3"/>
      <c r="P461" s="3"/>
      <c r="Q461" s="1"/>
      <c r="R461" s="1"/>
      <c r="S461" s="1"/>
    </row>
    <row r="462" spans="5:19" ht="15.75" customHeight="1">
      <c r="E462" s="1"/>
      <c r="F462" s="1"/>
      <c r="G462" s="1"/>
      <c r="H462" s="1"/>
      <c r="I462" s="1"/>
      <c r="J462" s="1"/>
      <c r="K462" s="2"/>
      <c r="L462" s="3"/>
      <c r="M462" s="3"/>
      <c r="N462" s="3"/>
      <c r="O462" s="3"/>
      <c r="P462" s="3"/>
      <c r="Q462" s="1"/>
      <c r="R462" s="1"/>
      <c r="S462" s="1"/>
    </row>
    <row r="463" spans="5:19" ht="15.75" customHeight="1">
      <c r="E463" s="1"/>
      <c r="F463" s="1"/>
      <c r="G463" s="1"/>
      <c r="H463" s="1"/>
      <c r="I463" s="1"/>
      <c r="J463" s="1"/>
      <c r="K463" s="2"/>
      <c r="L463" s="3"/>
      <c r="M463" s="3"/>
      <c r="N463" s="3"/>
      <c r="O463" s="3"/>
      <c r="P463" s="3"/>
      <c r="Q463" s="1"/>
      <c r="R463" s="1"/>
      <c r="S463" s="1"/>
    </row>
    <row r="464" spans="5:19" ht="15.75" customHeight="1">
      <c r="E464" s="1"/>
      <c r="F464" s="1"/>
      <c r="G464" s="1"/>
      <c r="H464" s="1"/>
      <c r="I464" s="1"/>
      <c r="J464" s="1"/>
      <c r="K464" s="2"/>
      <c r="L464" s="3"/>
      <c r="M464" s="3"/>
      <c r="N464" s="3"/>
      <c r="O464" s="3"/>
      <c r="P464" s="3"/>
      <c r="Q464" s="1"/>
      <c r="R464" s="1"/>
      <c r="S464" s="1"/>
    </row>
    <row r="465" spans="5:19" ht="15.75" customHeight="1">
      <c r="E465" s="1"/>
      <c r="F465" s="1"/>
      <c r="G465" s="1"/>
      <c r="H465" s="1"/>
      <c r="I465" s="1"/>
      <c r="J465" s="1"/>
      <c r="K465" s="2"/>
      <c r="L465" s="3"/>
      <c r="M465" s="3"/>
      <c r="N465" s="3"/>
      <c r="O465" s="3"/>
      <c r="P465" s="3"/>
      <c r="Q465" s="1"/>
      <c r="R465" s="1"/>
      <c r="S465" s="1"/>
    </row>
    <row r="466" spans="5:19" ht="15.75" customHeight="1">
      <c r="E466" s="1"/>
      <c r="F466" s="1"/>
      <c r="G466" s="1"/>
      <c r="H466" s="1"/>
      <c r="I466" s="1"/>
      <c r="J466" s="1"/>
      <c r="K466" s="2"/>
      <c r="L466" s="3"/>
      <c r="M466" s="3"/>
      <c r="N466" s="3"/>
      <c r="O466" s="3"/>
      <c r="P466" s="3"/>
      <c r="Q466" s="1"/>
      <c r="R466" s="1"/>
      <c r="S466" s="1"/>
    </row>
    <row r="467" spans="5:19" ht="15.75" customHeight="1">
      <c r="E467" s="1"/>
      <c r="F467" s="1"/>
      <c r="G467" s="1"/>
      <c r="H467" s="1"/>
      <c r="I467" s="1"/>
      <c r="J467" s="1"/>
      <c r="K467" s="2"/>
      <c r="L467" s="3"/>
      <c r="M467" s="3"/>
      <c r="N467" s="3"/>
      <c r="O467" s="3"/>
      <c r="P467" s="3"/>
      <c r="Q467" s="1"/>
      <c r="R467" s="1"/>
      <c r="S467" s="1"/>
    </row>
    <row r="468" spans="5:19" ht="15.75" customHeight="1">
      <c r="E468" s="1"/>
      <c r="F468" s="1"/>
      <c r="G468" s="1"/>
      <c r="H468" s="1"/>
      <c r="I468" s="1"/>
      <c r="J468" s="1"/>
      <c r="K468" s="2"/>
      <c r="L468" s="3"/>
      <c r="M468" s="3"/>
      <c r="N468" s="3"/>
      <c r="O468" s="3"/>
      <c r="P468" s="3"/>
      <c r="Q468" s="1"/>
      <c r="R468" s="1"/>
      <c r="S468" s="1"/>
    </row>
    <row r="469" spans="5:19" ht="15.75" customHeight="1">
      <c r="E469" s="1"/>
      <c r="F469" s="1"/>
      <c r="G469" s="1"/>
      <c r="H469" s="1"/>
      <c r="I469" s="1"/>
      <c r="J469" s="1"/>
      <c r="K469" s="2"/>
      <c r="L469" s="3"/>
      <c r="M469" s="3"/>
      <c r="N469" s="3"/>
      <c r="O469" s="3"/>
      <c r="P469" s="3"/>
      <c r="Q469" s="1"/>
      <c r="R469" s="1"/>
      <c r="S469" s="1"/>
    </row>
    <row r="470" spans="5:19" ht="15.75" customHeight="1">
      <c r="E470" s="1"/>
      <c r="F470" s="1"/>
      <c r="G470" s="1"/>
      <c r="H470" s="1"/>
      <c r="I470" s="1"/>
      <c r="J470" s="1"/>
      <c r="K470" s="2"/>
      <c r="L470" s="3"/>
      <c r="M470" s="3"/>
      <c r="N470" s="3"/>
      <c r="O470" s="3"/>
      <c r="P470" s="3"/>
      <c r="Q470" s="1"/>
      <c r="R470" s="1"/>
      <c r="S470" s="1"/>
    </row>
    <row r="471" spans="5:19" ht="15.75" customHeight="1">
      <c r="E471" s="1"/>
      <c r="F471" s="1"/>
      <c r="G471" s="1"/>
      <c r="H471" s="1"/>
      <c r="I471" s="1"/>
      <c r="J471" s="1"/>
      <c r="K471" s="2"/>
      <c r="L471" s="3"/>
      <c r="M471" s="3"/>
      <c r="N471" s="3"/>
      <c r="O471" s="3"/>
      <c r="P471" s="3"/>
      <c r="Q471" s="1"/>
      <c r="R471" s="1"/>
      <c r="S471" s="1"/>
    </row>
    <row r="472" spans="5:19" ht="15.75" customHeight="1">
      <c r="E472" s="1"/>
      <c r="F472" s="1"/>
      <c r="G472" s="1"/>
      <c r="H472" s="1"/>
      <c r="I472" s="1"/>
      <c r="J472" s="1"/>
      <c r="K472" s="2"/>
      <c r="L472" s="3"/>
      <c r="M472" s="3"/>
      <c r="N472" s="3"/>
      <c r="O472" s="3"/>
      <c r="P472" s="3"/>
      <c r="Q472" s="1"/>
      <c r="R472" s="1"/>
      <c r="S472" s="1"/>
    </row>
    <row r="473" spans="5:19" ht="15.75" customHeight="1">
      <c r="E473" s="1"/>
      <c r="F473" s="1"/>
      <c r="G473" s="1"/>
      <c r="H473" s="1"/>
      <c r="I473" s="1"/>
      <c r="J473" s="1"/>
      <c r="K473" s="2"/>
      <c r="L473" s="3"/>
      <c r="M473" s="3"/>
      <c r="N473" s="3"/>
      <c r="O473" s="3"/>
      <c r="P473" s="3"/>
      <c r="Q473" s="1"/>
      <c r="R473" s="1"/>
      <c r="S473" s="1"/>
    </row>
    <row r="474" spans="5:19" ht="15.75" customHeight="1">
      <c r="E474" s="1"/>
      <c r="F474" s="1"/>
      <c r="G474" s="1"/>
      <c r="H474" s="1"/>
      <c r="I474" s="1"/>
      <c r="J474" s="1"/>
      <c r="K474" s="2"/>
      <c r="L474" s="3"/>
      <c r="M474" s="3"/>
      <c r="N474" s="3"/>
      <c r="O474" s="3"/>
      <c r="P474" s="3"/>
      <c r="Q474" s="1"/>
      <c r="R474" s="1"/>
      <c r="S474" s="1"/>
    </row>
    <row r="475" spans="5:19" ht="15.75" customHeight="1">
      <c r="E475" s="1"/>
      <c r="F475" s="1"/>
      <c r="G475" s="1"/>
      <c r="H475" s="1"/>
      <c r="I475" s="1"/>
      <c r="J475" s="1"/>
      <c r="K475" s="2"/>
      <c r="L475" s="3"/>
      <c r="M475" s="3"/>
      <c r="N475" s="3"/>
      <c r="O475" s="3"/>
      <c r="P475" s="3"/>
      <c r="Q475" s="1"/>
      <c r="R475" s="1"/>
      <c r="S475" s="1"/>
    </row>
    <row r="476" spans="5:19" ht="15.75" customHeight="1">
      <c r="E476" s="1"/>
      <c r="F476" s="1"/>
      <c r="G476" s="1"/>
      <c r="H476" s="1"/>
      <c r="I476" s="1"/>
      <c r="J476" s="1"/>
      <c r="K476" s="2"/>
      <c r="L476" s="3"/>
      <c r="M476" s="3"/>
      <c r="N476" s="3"/>
      <c r="O476" s="3"/>
      <c r="P476" s="3"/>
      <c r="Q476" s="1"/>
      <c r="R476" s="1"/>
      <c r="S476" s="1"/>
    </row>
    <row r="477" spans="5:19" ht="15.75" customHeight="1">
      <c r="E477" s="1"/>
      <c r="F477" s="1"/>
      <c r="G477" s="1"/>
      <c r="H477" s="1"/>
      <c r="I477" s="1"/>
      <c r="J477" s="1"/>
      <c r="K477" s="2"/>
      <c r="L477" s="3"/>
      <c r="M477" s="3"/>
      <c r="N477" s="3"/>
      <c r="O477" s="3"/>
      <c r="P477" s="3"/>
      <c r="Q477" s="1"/>
      <c r="R477" s="1"/>
      <c r="S477" s="1"/>
    </row>
    <row r="478" spans="5:19" ht="15.75" customHeight="1">
      <c r="E478" s="1"/>
      <c r="F478" s="1"/>
      <c r="G478" s="1"/>
      <c r="H478" s="1"/>
      <c r="I478" s="1"/>
      <c r="J478" s="1"/>
      <c r="K478" s="2"/>
      <c r="L478" s="3"/>
      <c r="M478" s="3"/>
      <c r="N478" s="3"/>
      <c r="O478" s="3"/>
      <c r="P478" s="3"/>
      <c r="Q478" s="1"/>
      <c r="R478" s="1"/>
      <c r="S478" s="1"/>
    </row>
    <row r="479" spans="5:19" ht="15.75" customHeight="1">
      <c r="E479" s="1"/>
      <c r="F479" s="1"/>
      <c r="G479" s="1"/>
      <c r="H479" s="1"/>
      <c r="I479" s="1"/>
      <c r="J479" s="1"/>
      <c r="K479" s="2"/>
      <c r="L479" s="3"/>
      <c r="M479" s="3"/>
      <c r="N479" s="3"/>
      <c r="O479" s="3"/>
      <c r="P479" s="3"/>
      <c r="Q479" s="1"/>
      <c r="R479" s="1"/>
      <c r="S479" s="1"/>
    </row>
    <row r="480" spans="5:19" ht="15.75" customHeight="1">
      <c r="E480" s="1"/>
      <c r="F480" s="1"/>
      <c r="G480" s="1"/>
      <c r="H480" s="1"/>
      <c r="I480" s="1"/>
      <c r="J480" s="1"/>
      <c r="K480" s="2"/>
      <c r="L480" s="3"/>
      <c r="M480" s="3"/>
      <c r="N480" s="3"/>
      <c r="O480" s="3"/>
      <c r="P480" s="3"/>
      <c r="Q480" s="1"/>
      <c r="R480" s="1"/>
      <c r="S480" s="1"/>
    </row>
    <row r="481" spans="5:19" ht="15.75" customHeight="1">
      <c r="E481" s="1"/>
      <c r="F481" s="1"/>
      <c r="G481" s="1"/>
      <c r="H481" s="1"/>
      <c r="I481" s="1"/>
      <c r="J481" s="1"/>
      <c r="K481" s="2"/>
      <c r="L481" s="3"/>
      <c r="M481" s="3"/>
      <c r="N481" s="3"/>
      <c r="O481" s="3"/>
      <c r="P481" s="3"/>
      <c r="Q481" s="1"/>
      <c r="R481" s="1"/>
      <c r="S481" s="1"/>
    </row>
    <row r="482" spans="5:19" ht="15.75" customHeight="1">
      <c r="E482" s="1"/>
      <c r="F482" s="1"/>
      <c r="G482" s="1"/>
      <c r="H482" s="1"/>
      <c r="I482" s="1"/>
      <c r="J482" s="1"/>
      <c r="K482" s="2"/>
      <c r="L482" s="3"/>
      <c r="M482" s="3"/>
      <c r="N482" s="3"/>
      <c r="O482" s="3"/>
      <c r="P482" s="3"/>
      <c r="Q482" s="1"/>
      <c r="R482" s="1"/>
      <c r="S482" s="1"/>
    </row>
    <row r="483" spans="5:19" ht="15.75" customHeight="1">
      <c r="E483" s="1"/>
      <c r="F483" s="1"/>
      <c r="G483" s="1"/>
      <c r="H483" s="1"/>
      <c r="I483" s="1"/>
      <c r="J483" s="1"/>
      <c r="K483" s="2"/>
      <c r="L483" s="3"/>
      <c r="M483" s="3"/>
      <c r="N483" s="3"/>
      <c r="O483" s="3"/>
      <c r="P483" s="3"/>
      <c r="Q483" s="1"/>
      <c r="R483" s="1"/>
      <c r="S483" s="1"/>
    </row>
    <row r="484" spans="5:19" ht="15.75" customHeight="1">
      <c r="E484" s="1"/>
      <c r="F484" s="1"/>
      <c r="G484" s="1"/>
      <c r="H484" s="1"/>
      <c r="I484" s="1"/>
      <c r="J484" s="1"/>
      <c r="K484" s="2"/>
      <c r="L484" s="3"/>
      <c r="M484" s="3"/>
      <c r="N484" s="3"/>
      <c r="O484" s="3"/>
      <c r="P484" s="3"/>
      <c r="Q484" s="1"/>
      <c r="R484" s="1"/>
      <c r="S484" s="1"/>
    </row>
    <row r="485" spans="5:19" ht="15.75" customHeight="1">
      <c r="E485" s="1"/>
      <c r="F485" s="1"/>
      <c r="G485" s="1"/>
      <c r="H485" s="1"/>
      <c r="I485" s="1"/>
      <c r="J485" s="1"/>
      <c r="K485" s="2"/>
      <c r="L485" s="3"/>
      <c r="M485" s="3"/>
      <c r="N485" s="3"/>
      <c r="O485" s="3"/>
      <c r="P485" s="3"/>
      <c r="Q485" s="1"/>
      <c r="R485" s="1"/>
      <c r="S485" s="1"/>
    </row>
    <row r="486" spans="5:19" ht="15.75" customHeight="1">
      <c r="E486" s="1"/>
      <c r="F486" s="1"/>
      <c r="G486" s="1"/>
      <c r="H486" s="1"/>
      <c r="I486" s="1"/>
      <c r="J486" s="1"/>
      <c r="K486" s="2"/>
      <c r="L486" s="3"/>
      <c r="M486" s="3"/>
      <c r="N486" s="3"/>
      <c r="O486" s="3"/>
      <c r="P486" s="3"/>
      <c r="Q486" s="1"/>
      <c r="R486" s="1"/>
      <c r="S486" s="1"/>
    </row>
    <row r="487" spans="5:19" ht="15.75" customHeight="1">
      <c r="E487" s="1"/>
      <c r="F487" s="1"/>
      <c r="G487" s="1"/>
      <c r="H487" s="1"/>
      <c r="I487" s="1"/>
      <c r="J487" s="1"/>
      <c r="K487" s="2"/>
      <c r="L487" s="3"/>
      <c r="M487" s="3"/>
      <c r="N487" s="3"/>
      <c r="O487" s="3"/>
      <c r="P487" s="3"/>
      <c r="Q487" s="1"/>
      <c r="R487" s="1"/>
      <c r="S487" s="1"/>
    </row>
    <row r="488" spans="5:19" ht="15.75" customHeight="1">
      <c r="E488" s="1"/>
      <c r="F488" s="1"/>
      <c r="G488" s="1"/>
      <c r="H488" s="1"/>
      <c r="I488" s="1"/>
      <c r="J488" s="1"/>
      <c r="K488" s="2"/>
      <c r="L488" s="3"/>
      <c r="M488" s="3"/>
      <c r="N488" s="3"/>
      <c r="O488" s="3"/>
      <c r="P488" s="3"/>
      <c r="Q488" s="1"/>
      <c r="R488" s="1"/>
      <c r="S488" s="1"/>
    </row>
    <row r="489" spans="5:19" ht="15.75" customHeight="1">
      <c r="E489" s="1"/>
      <c r="F489" s="1"/>
      <c r="G489" s="1"/>
      <c r="H489" s="1"/>
      <c r="I489" s="1"/>
      <c r="J489" s="1"/>
      <c r="K489" s="2"/>
      <c r="L489" s="3"/>
      <c r="M489" s="3"/>
      <c r="N489" s="3"/>
      <c r="O489" s="3"/>
      <c r="P489" s="3"/>
      <c r="Q489" s="1"/>
      <c r="R489" s="1"/>
      <c r="S489" s="1"/>
    </row>
    <row r="490" spans="5:19" ht="15.75" customHeight="1">
      <c r="E490" s="1"/>
      <c r="F490" s="1"/>
      <c r="G490" s="1"/>
      <c r="H490" s="1"/>
      <c r="I490" s="1"/>
      <c r="J490" s="1"/>
      <c r="K490" s="2"/>
      <c r="L490" s="3"/>
      <c r="M490" s="3"/>
      <c r="N490" s="3"/>
      <c r="O490" s="3"/>
      <c r="P490" s="3"/>
      <c r="Q490" s="1"/>
      <c r="R490" s="1"/>
      <c r="S490" s="1"/>
    </row>
    <row r="491" spans="5:19" ht="15.75" customHeight="1">
      <c r="E491" s="1"/>
      <c r="F491" s="1"/>
      <c r="G491" s="1"/>
      <c r="H491" s="1"/>
      <c r="I491" s="1"/>
      <c r="J491" s="1"/>
      <c r="K491" s="2"/>
      <c r="L491" s="3"/>
      <c r="M491" s="3"/>
      <c r="N491" s="3"/>
      <c r="O491" s="3"/>
      <c r="P491" s="3"/>
      <c r="Q491" s="1"/>
      <c r="R491" s="1"/>
      <c r="S491" s="1"/>
    </row>
    <row r="492" spans="5:19" ht="15.75" customHeight="1">
      <c r="E492" s="1"/>
      <c r="F492" s="1"/>
      <c r="G492" s="1"/>
      <c r="H492" s="1"/>
      <c r="I492" s="1"/>
      <c r="J492" s="1"/>
      <c r="K492" s="2"/>
      <c r="L492" s="3"/>
      <c r="M492" s="3"/>
      <c r="N492" s="3"/>
      <c r="O492" s="3"/>
      <c r="P492" s="3"/>
      <c r="Q492" s="1"/>
      <c r="R492" s="1"/>
      <c r="S492" s="1"/>
    </row>
    <row r="493" spans="5:19" ht="15.75" customHeight="1">
      <c r="E493" s="1"/>
      <c r="F493" s="1"/>
      <c r="G493" s="1"/>
      <c r="H493" s="1"/>
      <c r="I493" s="1"/>
      <c r="J493" s="1"/>
      <c r="K493" s="2"/>
      <c r="L493" s="3"/>
      <c r="M493" s="3"/>
      <c r="N493" s="3"/>
      <c r="O493" s="3"/>
      <c r="P493" s="3"/>
      <c r="Q493" s="1"/>
      <c r="R493" s="1"/>
      <c r="S493" s="1"/>
    </row>
    <row r="494" spans="5:19" ht="15.75" customHeight="1">
      <c r="E494" s="1"/>
      <c r="F494" s="1"/>
      <c r="G494" s="1"/>
      <c r="H494" s="1"/>
      <c r="I494" s="1"/>
      <c r="J494" s="1"/>
      <c r="K494" s="2"/>
      <c r="L494" s="3"/>
      <c r="M494" s="3"/>
      <c r="N494" s="3"/>
      <c r="O494" s="3"/>
      <c r="P494" s="3"/>
      <c r="Q494" s="1"/>
      <c r="R494" s="1"/>
      <c r="S494" s="1"/>
    </row>
    <row r="495" spans="5:19" ht="15.75" customHeight="1">
      <c r="E495" s="1"/>
      <c r="F495" s="1"/>
      <c r="G495" s="1"/>
      <c r="H495" s="1"/>
      <c r="I495" s="1"/>
      <c r="J495" s="1"/>
      <c r="K495" s="2"/>
      <c r="L495" s="3"/>
      <c r="M495" s="3"/>
      <c r="N495" s="3"/>
      <c r="O495" s="3"/>
      <c r="P495" s="3"/>
      <c r="Q495" s="1"/>
      <c r="R495" s="1"/>
      <c r="S495" s="1"/>
    </row>
    <row r="496" spans="5:19" ht="15.75" customHeight="1">
      <c r="E496" s="1"/>
      <c r="F496" s="1"/>
      <c r="G496" s="1"/>
      <c r="H496" s="1"/>
      <c r="I496" s="1"/>
      <c r="J496" s="1"/>
      <c r="K496" s="2"/>
      <c r="L496" s="3"/>
      <c r="M496" s="3"/>
      <c r="N496" s="3"/>
      <c r="O496" s="3"/>
      <c r="P496" s="3"/>
      <c r="Q496" s="1"/>
      <c r="R496" s="1"/>
      <c r="S496" s="1"/>
    </row>
    <row r="497" spans="5:19" ht="15.75" customHeight="1">
      <c r="E497" s="1"/>
      <c r="F497" s="1"/>
      <c r="G497" s="1"/>
      <c r="H497" s="1"/>
      <c r="I497" s="1"/>
      <c r="J497" s="1"/>
      <c r="K497" s="2"/>
      <c r="L497" s="3"/>
      <c r="M497" s="3"/>
      <c r="N497" s="3"/>
      <c r="O497" s="3"/>
      <c r="P497" s="3"/>
      <c r="Q497" s="1"/>
      <c r="R497" s="1"/>
      <c r="S497" s="1"/>
    </row>
    <row r="498" spans="5:19" ht="15.75" customHeight="1">
      <c r="E498" s="1"/>
      <c r="F498" s="1"/>
      <c r="G498" s="1"/>
      <c r="H498" s="1"/>
      <c r="I498" s="1"/>
      <c r="J498" s="1"/>
      <c r="K498" s="2"/>
      <c r="L498" s="3"/>
      <c r="M498" s="3"/>
      <c r="N498" s="3"/>
      <c r="O498" s="3"/>
      <c r="P498" s="3"/>
      <c r="Q498" s="1"/>
      <c r="R498" s="1"/>
      <c r="S498" s="1"/>
    </row>
    <row r="499" spans="5:19" ht="15.75" customHeight="1">
      <c r="E499" s="1"/>
      <c r="F499" s="1"/>
      <c r="G499" s="1"/>
      <c r="H499" s="1"/>
      <c r="I499" s="1"/>
      <c r="J499" s="1"/>
      <c r="K499" s="2"/>
      <c r="L499" s="3"/>
      <c r="M499" s="3"/>
      <c r="N499" s="3"/>
      <c r="O499" s="3"/>
      <c r="P499" s="3"/>
      <c r="Q499" s="1"/>
      <c r="R499" s="1"/>
      <c r="S499" s="1"/>
    </row>
    <row r="500" spans="5:19" ht="15.75" customHeight="1">
      <c r="E500" s="1"/>
      <c r="F500" s="1"/>
      <c r="G500" s="1"/>
      <c r="H500" s="1"/>
      <c r="I500" s="1"/>
      <c r="J500" s="1"/>
      <c r="K500" s="2"/>
      <c r="L500" s="3"/>
      <c r="M500" s="3"/>
      <c r="N500" s="3"/>
      <c r="O500" s="3"/>
      <c r="P500" s="3"/>
      <c r="Q500" s="1"/>
      <c r="R500" s="1"/>
      <c r="S500" s="1"/>
    </row>
    <row r="501" spans="5:19" ht="15.75" customHeight="1">
      <c r="E501" s="1"/>
      <c r="F501" s="1"/>
      <c r="G501" s="1"/>
      <c r="H501" s="1"/>
      <c r="I501" s="1"/>
      <c r="J501" s="1"/>
      <c r="K501" s="2"/>
      <c r="L501" s="3"/>
      <c r="M501" s="3"/>
      <c r="N501" s="3"/>
      <c r="O501" s="3"/>
      <c r="P501" s="3"/>
      <c r="Q501" s="1"/>
      <c r="R501" s="1"/>
      <c r="S501" s="1"/>
    </row>
    <row r="502" spans="5:19" ht="15.75" customHeight="1">
      <c r="E502" s="1"/>
      <c r="F502" s="1"/>
      <c r="G502" s="1"/>
      <c r="H502" s="1"/>
      <c r="I502" s="1"/>
      <c r="J502" s="1"/>
      <c r="K502" s="2"/>
      <c r="L502" s="3"/>
      <c r="M502" s="3"/>
      <c r="N502" s="3"/>
      <c r="O502" s="3"/>
      <c r="P502" s="3"/>
      <c r="Q502" s="1"/>
      <c r="R502" s="1"/>
      <c r="S502" s="1"/>
    </row>
    <row r="503" spans="5:19" ht="15.75" customHeight="1">
      <c r="E503" s="1"/>
      <c r="F503" s="1"/>
      <c r="G503" s="1"/>
      <c r="H503" s="1"/>
      <c r="I503" s="1"/>
      <c r="J503" s="1"/>
      <c r="K503" s="2"/>
      <c r="L503" s="3"/>
      <c r="M503" s="3"/>
      <c r="N503" s="3"/>
      <c r="O503" s="3"/>
      <c r="P503" s="3"/>
      <c r="Q503" s="1"/>
      <c r="R503" s="1"/>
      <c r="S503" s="1"/>
    </row>
    <row r="504" spans="5:19" ht="15.75" customHeight="1">
      <c r="E504" s="1"/>
      <c r="F504" s="1"/>
      <c r="G504" s="1"/>
      <c r="H504" s="1"/>
      <c r="I504" s="1"/>
      <c r="J504" s="1"/>
      <c r="K504" s="2"/>
      <c r="L504" s="3"/>
      <c r="M504" s="3"/>
      <c r="N504" s="3"/>
      <c r="O504" s="3"/>
      <c r="P504" s="3"/>
      <c r="Q504" s="1"/>
      <c r="R504" s="1"/>
      <c r="S504" s="1"/>
    </row>
    <row r="505" spans="5:19" ht="15.75" customHeight="1">
      <c r="E505" s="1"/>
      <c r="F505" s="1"/>
      <c r="G505" s="1"/>
      <c r="H505" s="1"/>
      <c r="I505" s="1"/>
      <c r="J505" s="1"/>
      <c r="K505" s="2"/>
      <c r="L505" s="3"/>
      <c r="M505" s="3"/>
      <c r="N505" s="3"/>
      <c r="O505" s="3"/>
      <c r="P505" s="3"/>
      <c r="Q505" s="1"/>
      <c r="R505" s="1"/>
      <c r="S505" s="1"/>
    </row>
    <row r="506" spans="5:19" ht="15.75" customHeight="1">
      <c r="E506" s="1"/>
      <c r="F506" s="1"/>
      <c r="G506" s="1"/>
      <c r="H506" s="1"/>
      <c r="I506" s="1"/>
      <c r="J506" s="1"/>
      <c r="K506" s="2"/>
      <c r="L506" s="3"/>
      <c r="M506" s="3"/>
      <c r="N506" s="3"/>
      <c r="O506" s="3"/>
      <c r="P506" s="3"/>
      <c r="Q506" s="1"/>
      <c r="R506" s="1"/>
      <c r="S506" s="1"/>
    </row>
    <row r="507" spans="5:19" ht="15.75" customHeight="1">
      <c r="E507" s="1"/>
      <c r="F507" s="1"/>
      <c r="G507" s="1"/>
      <c r="H507" s="1"/>
      <c r="I507" s="1"/>
      <c r="J507" s="1"/>
      <c r="K507" s="2"/>
      <c r="L507" s="3"/>
      <c r="M507" s="3"/>
      <c r="N507" s="3"/>
      <c r="O507" s="3"/>
      <c r="P507" s="3"/>
      <c r="Q507" s="1"/>
      <c r="R507" s="1"/>
      <c r="S507" s="1"/>
    </row>
    <row r="508" spans="5:19" ht="15.75" customHeight="1">
      <c r="E508" s="1"/>
      <c r="F508" s="1"/>
      <c r="G508" s="1"/>
      <c r="H508" s="1"/>
      <c r="I508" s="1"/>
      <c r="J508" s="1"/>
      <c r="K508" s="2"/>
      <c r="L508" s="3"/>
      <c r="M508" s="3"/>
      <c r="N508" s="3"/>
      <c r="O508" s="3"/>
      <c r="P508" s="3"/>
      <c r="Q508" s="1"/>
      <c r="R508" s="1"/>
      <c r="S508" s="1"/>
    </row>
    <row r="509" spans="5:19" ht="15.75" customHeight="1">
      <c r="E509" s="1"/>
      <c r="F509" s="1"/>
      <c r="G509" s="1"/>
      <c r="H509" s="1"/>
      <c r="I509" s="1"/>
      <c r="J509" s="1"/>
      <c r="K509" s="2"/>
      <c r="L509" s="3"/>
      <c r="M509" s="3"/>
      <c r="N509" s="3"/>
      <c r="O509" s="3"/>
      <c r="P509" s="3"/>
      <c r="Q509" s="1"/>
      <c r="R509" s="1"/>
      <c r="S509" s="1"/>
    </row>
    <row r="510" spans="5:19" ht="15.75" customHeight="1">
      <c r="E510" s="1"/>
      <c r="F510" s="1"/>
      <c r="G510" s="1"/>
      <c r="H510" s="1"/>
      <c r="I510" s="1"/>
      <c r="J510" s="1"/>
      <c r="K510" s="2"/>
      <c r="L510" s="3"/>
      <c r="M510" s="3"/>
      <c r="N510" s="3"/>
      <c r="O510" s="3"/>
      <c r="P510" s="3"/>
      <c r="Q510" s="1"/>
      <c r="R510" s="1"/>
      <c r="S510" s="1"/>
    </row>
    <row r="511" spans="5:19" ht="15.75" customHeight="1">
      <c r="E511" s="1"/>
      <c r="F511" s="1"/>
      <c r="G511" s="1"/>
      <c r="H511" s="1"/>
      <c r="I511" s="1"/>
      <c r="J511" s="1"/>
      <c r="K511" s="2"/>
      <c r="L511" s="3"/>
      <c r="M511" s="3"/>
      <c r="N511" s="3"/>
      <c r="O511" s="3"/>
      <c r="P511" s="3"/>
      <c r="Q511" s="1"/>
      <c r="R511" s="1"/>
      <c r="S511" s="1"/>
    </row>
    <row r="512" spans="5:19" ht="15.75" customHeight="1">
      <c r="E512" s="1"/>
      <c r="F512" s="1"/>
      <c r="G512" s="1"/>
      <c r="H512" s="1"/>
      <c r="I512" s="1"/>
      <c r="J512" s="1"/>
      <c r="K512" s="2"/>
      <c r="L512" s="3"/>
      <c r="M512" s="3"/>
      <c r="N512" s="3"/>
      <c r="O512" s="3"/>
      <c r="P512" s="3"/>
      <c r="Q512" s="1"/>
      <c r="R512" s="1"/>
      <c r="S512" s="1"/>
    </row>
    <row r="513" spans="5:19" ht="15.75" customHeight="1">
      <c r="E513" s="1"/>
      <c r="F513" s="1"/>
      <c r="G513" s="1"/>
      <c r="H513" s="1"/>
      <c r="I513" s="1"/>
      <c r="J513" s="1"/>
      <c r="K513" s="2"/>
      <c r="L513" s="3"/>
      <c r="M513" s="3"/>
      <c r="N513" s="3"/>
      <c r="O513" s="3"/>
      <c r="P513" s="3"/>
      <c r="Q513" s="1"/>
      <c r="R513" s="1"/>
      <c r="S513" s="1"/>
    </row>
    <row r="514" spans="5:19" ht="15.75" customHeight="1">
      <c r="E514" s="1"/>
      <c r="F514" s="1"/>
      <c r="G514" s="1"/>
      <c r="H514" s="1"/>
      <c r="I514" s="1"/>
      <c r="J514" s="1"/>
      <c r="K514" s="2"/>
      <c r="L514" s="3"/>
      <c r="M514" s="3"/>
      <c r="N514" s="3"/>
      <c r="O514" s="3"/>
      <c r="P514" s="3"/>
      <c r="Q514" s="1"/>
      <c r="R514" s="1"/>
      <c r="S514" s="1"/>
    </row>
    <row r="515" spans="5:19" ht="15.75" customHeight="1">
      <c r="E515" s="1"/>
      <c r="F515" s="1"/>
      <c r="G515" s="1"/>
      <c r="H515" s="1"/>
      <c r="I515" s="1"/>
      <c r="J515" s="1"/>
      <c r="K515" s="2"/>
      <c r="L515" s="3"/>
      <c r="M515" s="3"/>
      <c r="N515" s="3"/>
      <c r="O515" s="3"/>
      <c r="P515" s="3"/>
      <c r="Q515" s="1"/>
      <c r="R515" s="1"/>
      <c r="S515" s="1"/>
    </row>
    <row r="516" spans="5:19" ht="15.75" customHeight="1">
      <c r="E516" s="1"/>
      <c r="F516" s="1"/>
      <c r="G516" s="1"/>
      <c r="H516" s="1"/>
      <c r="I516" s="1"/>
      <c r="J516" s="1"/>
      <c r="K516" s="2"/>
      <c r="L516" s="3"/>
      <c r="M516" s="3"/>
      <c r="N516" s="3"/>
      <c r="O516" s="3"/>
      <c r="P516" s="3"/>
      <c r="Q516" s="1"/>
      <c r="R516" s="1"/>
      <c r="S516" s="1"/>
    </row>
    <row r="517" spans="5:19" ht="15.75" customHeight="1">
      <c r="E517" s="1"/>
      <c r="F517" s="1"/>
      <c r="G517" s="1"/>
      <c r="H517" s="1"/>
      <c r="I517" s="1"/>
      <c r="J517" s="1"/>
      <c r="K517" s="2"/>
      <c r="L517" s="3"/>
      <c r="M517" s="3"/>
      <c r="N517" s="3"/>
      <c r="O517" s="3"/>
      <c r="P517" s="3"/>
      <c r="Q517" s="1"/>
      <c r="R517" s="1"/>
      <c r="S517" s="1"/>
    </row>
    <row r="518" spans="5:19" ht="15.75" customHeight="1">
      <c r="E518" s="1"/>
      <c r="F518" s="1"/>
      <c r="G518" s="1"/>
      <c r="H518" s="1"/>
      <c r="I518" s="1"/>
      <c r="J518" s="1"/>
      <c r="K518" s="2"/>
      <c r="L518" s="3"/>
      <c r="M518" s="3"/>
      <c r="N518" s="3"/>
      <c r="O518" s="3"/>
      <c r="P518" s="3"/>
      <c r="Q518" s="1"/>
      <c r="R518" s="1"/>
      <c r="S518" s="1"/>
    </row>
    <row r="519" spans="5:19" ht="15.75" customHeight="1">
      <c r="E519" s="1"/>
      <c r="F519" s="1"/>
      <c r="G519" s="1"/>
      <c r="H519" s="1"/>
      <c r="I519" s="1"/>
      <c r="J519" s="1"/>
      <c r="K519" s="2"/>
      <c r="L519" s="3"/>
      <c r="M519" s="3"/>
      <c r="N519" s="3"/>
      <c r="O519" s="3"/>
      <c r="P519" s="3"/>
      <c r="Q519" s="1"/>
      <c r="R519" s="1"/>
      <c r="S519" s="1"/>
    </row>
    <row r="520" spans="5:19" ht="15.75" customHeight="1">
      <c r="E520" s="1"/>
      <c r="F520" s="1"/>
      <c r="G520" s="1"/>
      <c r="H520" s="1"/>
      <c r="I520" s="1"/>
      <c r="J520" s="1"/>
      <c r="K520" s="2"/>
      <c r="L520" s="3"/>
      <c r="M520" s="3"/>
      <c r="N520" s="3"/>
      <c r="O520" s="3"/>
      <c r="P520" s="3"/>
      <c r="Q520" s="1"/>
      <c r="R520" s="1"/>
      <c r="S520" s="1"/>
    </row>
    <row r="521" spans="5:19" ht="15.75" customHeight="1">
      <c r="E521" s="1"/>
      <c r="F521" s="1"/>
      <c r="G521" s="1"/>
      <c r="H521" s="1"/>
      <c r="I521" s="1"/>
      <c r="J521" s="1"/>
      <c r="K521" s="2"/>
      <c r="L521" s="3"/>
      <c r="M521" s="3"/>
      <c r="N521" s="3"/>
      <c r="O521" s="3"/>
      <c r="P521" s="3"/>
      <c r="Q521" s="1"/>
      <c r="R521" s="1"/>
      <c r="S521" s="1"/>
    </row>
    <row r="522" spans="5:19" ht="15.75" customHeight="1">
      <c r="E522" s="1"/>
      <c r="F522" s="1"/>
      <c r="G522" s="1"/>
      <c r="H522" s="1"/>
      <c r="I522" s="1"/>
      <c r="J522" s="1"/>
      <c r="K522" s="2"/>
      <c r="L522" s="3"/>
      <c r="M522" s="3"/>
      <c r="N522" s="3"/>
      <c r="O522" s="3"/>
      <c r="P522" s="3"/>
      <c r="Q522" s="1"/>
      <c r="R522" s="1"/>
      <c r="S522" s="1"/>
    </row>
    <row r="523" spans="5:19" ht="15.75" customHeight="1">
      <c r="E523" s="1"/>
      <c r="F523" s="1"/>
      <c r="G523" s="1"/>
      <c r="H523" s="1"/>
      <c r="I523" s="1"/>
      <c r="J523" s="1"/>
      <c r="K523" s="2"/>
      <c r="L523" s="3"/>
      <c r="M523" s="3"/>
      <c r="N523" s="3"/>
      <c r="O523" s="3"/>
      <c r="P523" s="3"/>
      <c r="Q523" s="1"/>
      <c r="R523" s="1"/>
      <c r="S523" s="1"/>
    </row>
    <row r="524" spans="5:19" ht="15.75" customHeight="1">
      <c r="E524" s="1"/>
      <c r="F524" s="1"/>
      <c r="G524" s="1"/>
      <c r="H524" s="1"/>
      <c r="I524" s="1"/>
      <c r="J524" s="1"/>
      <c r="K524" s="2"/>
      <c r="L524" s="3"/>
      <c r="M524" s="3"/>
      <c r="N524" s="3"/>
      <c r="O524" s="3"/>
      <c r="P524" s="3"/>
      <c r="Q524" s="1"/>
      <c r="R524" s="1"/>
      <c r="S524" s="1"/>
    </row>
    <row r="525" spans="5:19" ht="15.75" customHeight="1">
      <c r="E525" s="1"/>
      <c r="F525" s="1"/>
      <c r="G525" s="1"/>
      <c r="H525" s="1"/>
      <c r="I525" s="1"/>
      <c r="J525" s="1"/>
      <c r="K525" s="2"/>
      <c r="L525" s="3"/>
      <c r="M525" s="3"/>
      <c r="N525" s="3"/>
      <c r="O525" s="3"/>
      <c r="P525" s="3"/>
      <c r="Q525" s="1"/>
      <c r="R525" s="1"/>
      <c r="S525" s="1"/>
    </row>
    <row r="526" spans="5:19" ht="15.75" customHeight="1">
      <c r="E526" s="1"/>
      <c r="F526" s="1"/>
      <c r="G526" s="1"/>
      <c r="H526" s="1"/>
      <c r="I526" s="1"/>
      <c r="J526" s="1"/>
      <c r="K526" s="2"/>
      <c r="L526" s="3"/>
      <c r="M526" s="3"/>
      <c r="N526" s="3"/>
      <c r="O526" s="3"/>
      <c r="P526" s="3"/>
      <c r="Q526" s="1"/>
      <c r="R526" s="1"/>
      <c r="S526" s="1"/>
    </row>
    <row r="527" spans="5:19" ht="15.75" customHeight="1">
      <c r="E527" s="1"/>
      <c r="F527" s="1"/>
      <c r="G527" s="1"/>
      <c r="H527" s="1"/>
      <c r="I527" s="1"/>
      <c r="J527" s="1"/>
      <c r="K527" s="2"/>
      <c r="L527" s="3"/>
      <c r="M527" s="3"/>
      <c r="N527" s="3"/>
      <c r="O527" s="3"/>
      <c r="P527" s="3"/>
      <c r="Q527" s="1"/>
      <c r="R527" s="1"/>
      <c r="S527" s="1"/>
    </row>
    <row r="528" spans="5:19" ht="15.75" customHeight="1">
      <c r="E528" s="1"/>
      <c r="F528" s="1"/>
      <c r="G528" s="1"/>
      <c r="H528" s="1"/>
      <c r="I528" s="1"/>
      <c r="J528" s="1"/>
      <c r="K528" s="2"/>
      <c r="L528" s="3"/>
      <c r="M528" s="3"/>
      <c r="N528" s="3"/>
      <c r="O528" s="3"/>
      <c r="P528" s="3"/>
      <c r="Q528" s="1"/>
      <c r="R528" s="1"/>
      <c r="S528" s="1"/>
    </row>
    <row r="529" spans="5:19" ht="15.75" customHeight="1">
      <c r="E529" s="1"/>
      <c r="F529" s="1"/>
      <c r="G529" s="1"/>
      <c r="H529" s="1"/>
      <c r="I529" s="1"/>
      <c r="J529" s="1"/>
      <c r="K529" s="2"/>
      <c r="L529" s="3"/>
      <c r="M529" s="3"/>
      <c r="N529" s="3"/>
      <c r="O529" s="3"/>
      <c r="P529" s="3"/>
      <c r="Q529" s="1"/>
      <c r="R529" s="1"/>
      <c r="S529" s="1"/>
    </row>
    <row r="530" spans="5:19" ht="15.75" customHeight="1">
      <c r="E530" s="1"/>
      <c r="F530" s="1"/>
      <c r="G530" s="1"/>
      <c r="H530" s="1"/>
      <c r="I530" s="1"/>
      <c r="J530" s="1"/>
      <c r="K530" s="2"/>
      <c r="L530" s="3"/>
      <c r="M530" s="3"/>
      <c r="N530" s="3"/>
      <c r="O530" s="3"/>
      <c r="P530" s="3"/>
      <c r="Q530" s="1"/>
      <c r="R530" s="1"/>
      <c r="S530" s="1"/>
    </row>
    <row r="531" spans="5:19" ht="15.75" customHeight="1">
      <c r="E531" s="1"/>
      <c r="F531" s="1"/>
      <c r="G531" s="1"/>
      <c r="H531" s="1"/>
      <c r="I531" s="1"/>
      <c r="J531" s="1"/>
      <c r="K531" s="2"/>
      <c r="L531" s="3"/>
      <c r="M531" s="3"/>
      <c r="N531" s="3"/>
      <c r="O531" s="3"/>
      <c r="P531" s="3"/>
      <c r="Q531" s="1"/>
      <c r="R531" s="1"/>
      <c r="S531" s="1"/>
    </row>
    <row r="532" spans="5:19" ht="15.75" customHeight="1">
      <c r="E532" s="1"/>
      <c r="F532" s="1"/>
      <c r="G532" s="1"/>
      <c r="H532" s="1"/>
      <c r="I532" s="1"/>
      <c r="J532" s="1"/>
      <c r="K532" s="2"/>
      <c r="L532" s="3"/>
      <c r="M532" s="3"/>
      <c r="N532" s="3"/>
      <c r="O532" s="3"/>
      <c r="P532" s="3"/>
      <c r="Q532" s="1"/>
      <c r="R532" s="1"/>
      <c r="S532" s="1"/>
    </row>
    <row r="533" spans="5:19" ht="15.75" customHeight="1">
      <c r="E533" s="1"/>
      <c r="F533" s="1"/>
      <c r="G533" s="1"/>
      <c r="H533" s="1"/>
      <c r="I533" s="1"/>
      <c r="J533" s="1"/>
      <c r="K533" s="2"/>
      <c r="L533" s="3"/>
      <c r="M533" s="3"/>
      <c r="N533" s="3"/>
      <c r="O533" s="3"/>
      <c r="P533" s="3"/>
      <c r="Q533" s="1"/>
      <c r="R533" s="1"/>
      <c r="S533" s="1"/>
    </row>
    <row r="534" spans="5:19" ht="15.75" customHeight="1">
      <c r="E534" s="1"/>
      <c r="F534" s="1"/>
      <c r="G534" s="1"/>
      <c r="H534" s="1"/>
      <c r="I534" s="1"/>
      <c r="J534" s="1"/>
      <c r="K534" s="2"/>
      <c r="L534" s="3"/>
      <c r="M534" s="3"/>
      <c r="N534" s="3"/>
      <c r="O534" s="3"/>
      <c r="P534" s="3"/>
      <c r="Q534" s="1"/>
      <c r="R534" s="1"/>
      <c r="S534" s="1"/>
    </row>
    <row r="535" spans="5:19" ht="15.75" customHeight="1">
      <c r="E535" s="1"/>
      <c r="F535" s="1"/>
      <c r="G535" s="1"/>
      <c r="H535" s="1"/>
      <c r="I535" s="1"/>
      <c r="J535" s="1"/>
      <c r="K535" s="2"/>
      <c r="L535" s="3"/>
      <c r="M535" s="3"/>
      <c r="N535" s="3"/>
      <c r="O535" s="3"/>
      <c r="P535" s="3"/>
      <c r="Q535" s="1"/>
      <c r="R535" s="1"/>
      <c r="S535" s="1"/>
    </row>
    <row r="536" spans="5:19" ht="15.75" customHeight="1">
      <c r="E536" s="1"/>
      <c r="F536" s="1"/>
      <c r="G536" s="1"/>
      <c r="H536" s="1"/>
      <c r="I536" s="1"/>
      <c r="J536" s="1"/>
      <c r="K536" s="2"/>
      <c r="L536" s="3"/>
      <c r="M536" s="3"/>
      <c r="N536" s="3"/>
      <c r="O536" s="3"/>
      <c r="P536" s="3"/>
      <c r="Q536" s="1"/>
      <c r="R536" s="1"/>
      <c r="S536" s="1"/>
    </row>
    <row r="537" spans="5:19" ht="15.75" customHeight="1">
      <c r="E537" s="1"/>
      <c r="F537" s="1"/>
      <c r="G537" s="1"/>
      <c r="H537" s="1"/>
      <c r="I537" s="1"/>
      <c r="J537" s="1"/>
      <c r="K537" s="2"/>
      <c r="L537" s="3"/>
      <c r="M537" s="3"/>
      <c r="N537" s="3"/>
      <c r="O537" s="3"/>
      <c r="P537" s="3"/>
      <c r="Q537" s="1"/>
      <c r="R537" s="1"/>
      <c r="S537" s="1"/>
    </row>
    <row r="538" spans="5:19" ht="15.75" customHeight="1">
      <c r="E538" s="1"/>
      <c r="F538" s="1"/>
      <c r="G538" s="1"/>
      <c r="H538" s="1"/>
      <c r="I538" s="1"/>
      <c r="J538" s="1"/>
      <c r="K538" s="2"/>
      <c r="L538" s="3"/>
      <c r="M538" s="3"/>
      <c r="N538" s="3"/>
      <c r="O538" s="3"/>
      <c r="P538" s="3"/>
      <c r="Q538" s="1"/>
      <c r="R538" s="1"/>
      <c r="S538" s="1"/>
    </row>
    <row r="539" spans="5:19" ht="15.75" customHeight="1">
      <c r="E539" s="1"/>
      <c r="F539" s="1"/>
      <c r="G539" s="1"/>
      <c r="H539" s="1"/>
      <c r="I539" s="1"/>
      <c r="J539" s="1"/>
      <c r="K539" s="2"/>
      <c r="L539" s="3"/>
      <c r="M539" s="3"/>
      <c r="N539" s="3"/>
      <c r="O539" s="3"/>
      <c r="P539" s="3"/>
      <c r="Q539" s="1"/>
      <c r="R539" s="1"/>
      <c r="S539" s="1"/>
    </row>
    <row r="540" spans="5:19" ht="15.75" customHeight="1">
      <c r="E540" s="1"/>
      <c r="F540" s="1"/>
      <c r="G540" s="1"/>
      <c r="H540" s="1"/>
      <c r="I540" s="1"/>
      <c r="J540" s="1"/>
      <c r="K540" s="2"/>
      <c r="L540" s="3"/>
      <c r="M540" s="3"/>
      <c r="N540" s="3"/>
      <c r="O540" s="3"/>
      <c r="P540" s="3"/>
      <c r="Q540" s="1"/>
      <c r="R540" s="1"/>
      <c r="S540" s="1"/>
    </row>
    <row r="541" spans="5:19" ht="15.75" customHeight="1">
      <c r="E541" s="1"/>
      <c r="F541" s="1"/>
      <c r="G541" s="1"/>
      <c r="H541" s="1"/>
      <c r="I541" s="1"/>
      <c r="J541" s="1"/>
      <c r="K541" s="2"/>
      <c r="L541" s="3"/>
      <c r="M541" s="3"/>
      <c r="N541" s="3"/>
      <c r="O541" s="3"/>
      <c r="P541" s="3"/>
      <c r="Q541" s="1"/>
      <c r="R541" s="1"/>
      <c r="S541" s="1"/>
    </row>
    <row r="542" spans="5:19" ht="15.75" customHeight="1">
      <c r="E542" s="1"/>
      <c r="F542" s="1"/>
      <c r="G542" s="1"/>
      <c r="H542" s="1"/>
      <c r="I542" s="1"/>
      <c r="J542" s="1"/>
      <c r="K542" s="2"/>
      <c r="L542" s="3"/>
      <c r="M542" s="3"/>
      <c r="N542" s="3"/>
      <c r="O542" s="3"/>
      <c r="P542" s="3"/>
      <c r="Q542" s="1"/>
      <c r="R542" s="1"/>
      <c r="S542" s="1"/>
    </row>
    <row r="543" spans="5:19" ht="15.75" customHeight="1">
      <c r="E543" s="1"/>
      <c r="F543" s="1"/>
      <c r="G543" s="1"/>
      <c r="H543" s="1"/>
      <c r="I543" s="1"/>
      <c r="J543" s="1"/>
      <c r="K543" s="2"/>
      <c r="L543" s="3"/>
      <c r="M543" s="3"/>
      <c r="N543" s="3"/>
      <c r="O543" s="3"/>
      <c r="P543" s="3"/>
      <c r="Q543" s="1"/>
      <c r="R543" s="1"/>
      <c r="S543" s="1"/>
    </row>
    <row r="544" spans="5:19" ht="15.75" customHeight="1">
      <c r="E544" s="1"/>
      <c r="F544" s="1"/>
      <c r="G544" s="1"/>
      <c r="H544" s="1"/>
      <c r="I544" s="1"/>
      <c r="J544" s="1"/>
      <c r="K544" s="2"/>
      <c r="L544" s="3"/>
      <c r="M544" s="3"/>
      <c r="N544" s="3"/>
      <c r="O544" s="3"/>
      <c r="P544" s="3"/>
      <c r="Q544" s="1"/>
      <c r="R544" s="1"/>
      <c r="S544" s="1"/>
    </row>
    <row r="545" spans="5:19" ht="15.75" customHeight="1">
      <c r="E545" s="1"/>
      <c r="F545" s="1"/>
      <c r="G545" s="1"/>
      <c r="H545" s="1"/>
      <c r="I545" s="1"/>
      <c r="J545" s="1"/>
      <c r="K545" s="2"/>
      <c r="L545" s="3"/>
      <c r="M545" s="3"/>
      <c r="N545" s="3"/>
      <c r="O545" s="3"/>
      <c r="P545" s="3"/>
      <c r="Q545" s="1"/>
      <c r="R545" s="1"/>
      <c r="S545" s="1"/>
    </row>
    <row r="546" spans="5:19" ht="15.75" customHeight="1">
      <c r="E546" s="1"/>
      <c r="F546" s="1"/>
      <c r="G546" s="1"/>
      <c r="H546" s="1"/>
      <c r="I546" s="1"/>
      <c r="J546" s="1"/>
      <c r="K546" s="2"/>
      <c r="L546" s="3"/>
      <c r="M546" s="3"/>
      <c r="N546" s="3"/>
      <c r="O546" s="3"/>
      <c r="P546" s="3"/>
      <c r="Q546" s="1"/>
      <c r="R546" s="1"/>
      <c r="S546" s="1"/>
    </row>
    <row r="547" spans="5:19" ht="15.75" customHeight="1">
      <c r="E547" s="1"/>
      <c r="F547" s="1"/>
      <c r="G547" s="1"/>
      <c r="H547" s="1"/>
      <c r="I547" s="1"/>
      <c r="J547" s="1"/>
      <c r="K547" s="2"/>
      <c r="L547" s="3"/>
      <c r="M547" s="3"/>
      <c r="N547" s="3"/>
      <c r="O547" s="3"/>
      <c r="P547" s="3"/>
      <c r="Q547" s="1"/>
      <c r="R547" s="1"/>
      <c r="S547" s="1"/>
    </row>
    <row r="548" spans="5:19" ht="15.75" customHeight="1">
      <c r="E548" s="1"/>
      <c r="F548" s="1"/>
      <c r="G548" s="1"/>
      <c r="H548" s="1"/>
      <c r="I548" s="1"/>
      <c r="J548" s="1"/>
      <c r="K548" s="2"/>
      <c r="L548" s="3"/>
      <c r="M548" s="3"/>
      <c r="N548" s="3"/>
      <c r="O548" s="3"/>
      <c r="P548" s="3"/>
      <c r="Q548" s="1"/>
      <c r="R548" s="1"/>
      <c r="S548" s="1"/>
    </row>
    <row r="549" spans="5:19" ht="15.75" customHeight="1">
      <c r="E549" s="1"/>
      <c r="F549" s="1"/>
      <c r="G549" s="1"/>
      <c r="H549" s="1"/>
      <c r="I549" s="1"/>
      <c r="J549" s="1"/>
      <c r="K549" s="2"/>
      <c r="L549" s="3"/>
      <c r="M549" s="3"/>
      <c r="N549" s="3"/>
      <c r="O549" s="3"/>
      <c r="P549" s="3"/>
      <c r="Q549" s="1"/>
      <c r="R549" s="1"/>
      <c r="S549" s="1"/>
    </row>
    <row r="550" spans="5:19" ht="15.75" customHeight="1">
      <c r="E550" s="1"/>
      <c r="F550" s="1"/>
      <c r="G550" s="1"/>
      <c r="H550" s="1"/>
      <c r="I550" s="1"/>
      <c r="J550" s="1"/>
      <c r="K550" s="2"/>
      <c r="L550" s="3"/>
      <c r="M550" s="3"/>
      <c r="N550" s="3"/>
      <c r="O550" s="3"/>
      <c r="P550" s="3"/>
      <c r="Q550" s="1"/>
      <c r="R550" s="1"/>
      <c r="S550" s="1"/>
    </row>
    <row r="551" spans="5:19" ht="15.75" customHeight="1">
      <c r="E551" s="1"/>
      <c r="F551" s="1"/>
      <c r="G551" s="1"/>
      <c r="H551" s="1"/>
      <c r="I551" s="1"/>
      <c r="J551" s="1"/>
      <c r="K551" s="2"/>
      <c r="L551" s="3"/>
      <c r="M551" s="3"/>
      <c r="N551" s="3"/>
      <c r="O551" s="3"/>
      <c r="P551" s="3"/>
      <c r="Q551" s="1"/>
      <c r="R551" s="1"/>
      <c r="S551" s="1"/>
    </row>
    <row r="552" spans="5:19" ht="15.75" customHeight="1">
      <c r="E552" s="1"/>
      <c r="F552" s="1"/>
      <c r="G552" s="1"/>
      <c r="H552" s="1"/>
      <c r="I552" s="1"/>
      <c r="J552" s="1"/>
      <c r="K552" s="2"/>
      <c r="L552" s="3"/>
      <c r="M552" s="3"/>
      <c r="N552" s="3"/>
      <c r="O552" s="3"/>
      <c r="P552" s="3"/>
      <c r="Q552" s="1"/>
      <c r="R552" s="1"/>
      <c r="S552" s="1"/>
    </row>
    <row r="553" spans="5:19" ht="15.75" customHeight="1">
      <c r="E553" s="1"/>
      <c r="F553" s="1"/>
      <c r="G553" s="1"/>
      <c r="H553" s="1"/>
      <c r="I553" s="1"/>
      <c r="J553" s="1"/>
      <c r="K553" s="2"/>
      <c r="L553" s="3"/>
      <c r="M553" s="3"/>
      <c r="N553" s="3"/>
      <c r="O553" s="3"/>
      <c r="P553" s="3"/>
      <c r="Q553" s="1"/>
      <c r="R553" s="1"/>
      <c r="S553" s="1"/>
    </row>
    <row r="554" spans="5:19" ht="15.75" customHeight="1">
      <c r="E554" s="1"/>
      <c r="F554" s="1"/>
      <c r="G554" s="1"/>
      <c r="H554" s="1"/>
      <c r="I554" s="1"/>
      <c r="J554" s="1"/>
      <c r="K554" s="2"/>
      <c r="L554" s="3"/>
      <c r="M554" s="3"/>
      <c r="N554" s="3"/>
      <c r="O554" s="3"/>
      <c r="P554" s="3"/>
      <c r="Q554" s="1"/>
      <c r="R554" s="1"/>
      <c r="S554" s="1"/>
    </row>
    <row r="555" spans="5:19" ht="15.75" customHeight="1">
      <c r="E555" s="1"/>
      <c r="F555" s="1"/>
      <c r="G555" s="1"/>
      <c r="H555" s="1"/>
      <c r="I555" s="1"/>
      <c r="J555" s="1"/>
      <c r="K555" s="2"/>
      <c r="L555" s="3"/>
      <c r="M555" s="3"/>
      <c r="N555" s="3"/>
      <c r="O555" s="3"/>
      <c r="P555" s="3"/>
      <c r="Q555" s="1"/>
      <c r="R555" s="1"/>
      <c r="S555" s="1"/>
    </row>
    <row r="556" spans="5:19" ht="15.75" customHeight="1">
      <c r="E556" s="1"/>
      <c r="F556" s="1"/>
      <c r="G556" s="1"/>
      <c r="H556" s="1"/>
      <c r="I556" s="1"/>
      <c r="J556" s="1"/>
      <c r="K556" s="2"/>
      <c r="L556" s="3"/>
      <c r="M556" s="3"/>
      <c r="N556" s="3"/>
      <c r="O556" s="3"/>
      <c r="P556" s="3"/>
      <c r="Q556" s="1"/>
      <c r="R556" s="1"/>
      <c r="S556" s="1"/>
    </row>
    <row r="557" spans="5:19" ht="15.75" customHeight="1">
      <c r="E557" s="1"/>
      <c r="F557" s="1"/>
      <c r="G557" s="1"/>
      <c r="H557" s="1"/>
      <c r="I557" s="1"/>
      <c r="J557" s="1"/>
      <c r="K557" s="2"/>
      <c r="L557" s="3"/>
      <c r="M557" s="3"/>
      <c r="N557" s="3"/>
      <c r="O557" s="3"/>
      <c r="P557" s="3"/>
      <c r="Q557" s="1"/>
      <c r="R557" s="1"/>
      <c r="S557" s="1"/>
    </row>
    <row r="558" spans="5:19" ht="15.75" customHeight="1">
      <c r="E558" s="1"/>
      <c r="F558" s="1"/>
      <c r="G558" s="1"/>
      <c r="H558" s="1"/>
      <c r="I558" s="1"/>
      <c r="J558" s="1"/>
      <c r="K558" s="2"/>
      <c r="L558" s="3"/>
      <c r="M558" s="3"/>
      <c r="N558" s="3"/>
      <c r="O558" s="3"/>
      <c r="P558" s="3"/>
      <c r="Q558" s="1"/>
      <c r="R558" s="1"/>
      <c r="S558" s="1"/>
    </row>
    <row r="559" spans="5:19" ht="15.75" customHeight="1">
      <c r="E559" s="1"/>
      <c r="F559" s="1"/>
      <c r="G559" s="1"/>
      <c r="H559" s="1"/>
      <c r="I559" s="1"/>
      <c r="J559" s="1"/>
      <c r="K559" s="2"/>
      <c r="L559" s="3"/>
      <c r="M559" s="3"/>
      <c r="N559" s="3"/>
      <c r="O559" s="3"/>
      <c r="P559" s="3"/>
      <c r="Q559" s="1"/>
      <c r="R559" s="1"/>
      <c r="S559" s="1"/>
    </row>
    <row r="560" spans="5:19" ht="15.75" customHeight="1">
      <c r="E560" s="1"/>
      <c r="F560" s="1"/>
      <c r="G560" s="1"/>
      <c r="H560" s="1"/>
      <c r="I560" s="1"/>
      <c r="J560" s="1"/>
      <c r="K560" s="2"/>
      <c r="L560" s="3"/>
      <c r="M560" s="3"/>
      <c r="N560" s="3"/>
      <c r="O560" s="3"/>
      <c r="P560" s="3"/>
      <c r="Q560" s="1"/>
      <c r="R560" s="1"/>
      <c r="S560" s="1"/>
    </row>
    <row r="561" spans="5:19" ht="15.75" customHeight="1">
      <c r="E561" s="1"/>
      <c r="F561" s="1"/>
      <c r="G561" s="1"/>
      <c r="H561" s="1"/>
      <c r="I561" s="1"/>
      <c r="J561" s="1"/>
      <c r="K561" s="2"/>
      <c r="L561" s="3"/>
      <c r="M561" s="3"/>
      <c r="N561" s="3"/>
      <c r="O561" s="3"/>
      <c r="P561" s="3"/>
      <c r="Q561" s="1"/>
      <c r="R561" s="1"/>
      <c r="S561" s="1"/>
    </row>
    <row r="562" spans="5:19" ht="15.75" customHeight="1">
      <c r="E562" s="1"/>
      <c r="F562" s="1"/>
      <c r="G562" s="1"/>
      <c r="H562" s="1"/>
      <c r="I562" s="1"/>
      <c r="J562" s="1"/>
      <c r="K562" s="2"/>
      <c r="L562" s="3"/>
      <c r="M562" s="3"/>
      <c r="N562" s="3"/>
      <c r="O562" s="3"/>
      <c r="P562" s="3"/>
      <c r="Q562" s="1"/>
      <c r="R562" s="1"/>
      <c r="S562" s="1"/>
    </row>
    <row r="563" spans="5:19" ht="15.75" customHeight="1">
      <c r="E563" s="1"/>
      <c r="F563" s="1"/>
      <c r="G563" s="1"/>
      <c r="H563" s="1"/>
      <c r="I563" s="1"/>
      <c r="J563" s="1"/>
      <c r="K563" s="2"/>
      <c r="L563" s="3"/>
      <c r="M563" s="3"/>
      <c r="N563" s="3"/>
      <c r="O563" s="3"/>
      <c r="P563" s="3"/>
      <c r="Q563" s="1"/>
      <c r="R563" s="1"/>
      <c r="S563" s="1"/>
    </row>
    <row r="564" spans="5:19" ht="15.75" customHeight="1">
      <c r="E564" s="1"/>
      <c r="F564" s="1"/>
      <c r="G564" s="1"/>
      <c r="H564" s="1"/>
      <c r="I564" s="1"/>
      <c r="J564" s="1"/>
      <c r="K564" s="2"/>
      <c r="L564" s="3"/>
      <c r="M564" s="3"/>
      <c r="N564" s="3"/>
      <c r="O564" s="3"/>
      <c r="P564" s="3"/>
      <c r="Q564" s="1"/>
      <c r="R564" s="1"/>
      <c r="S564" s="1"/>
    </row>
    <row r="565" spans="5:19" ht="15.75" customHeight="1">
      <c r="E565" s="1"/>
      <c r="F565" s="1"/>
      <c r="G565" s="1"/>
      <c r="H565" s="1"/>
      <c r="I565" s="1"/>
      <c r="J565" s="1"/>
      <c r="K565" s="2"/>
      <c r="L565" s="3"/>
      <c r="M565" s="3"/>
      <c r="N565" s="3"/>
      <c r="O565" s="3"/>
      <c r="P565" s="3"/>
      <c r="Q565" s="1"/>
      <c r="R565" s="1"/>
      <c r="S565" s="1"/>
    </row>
    <row r="566" spans="5:19" ht="15.75" customHeight="1">
      <c r="E566" s="1"/>
      <c r="F566" s="1"/>
      <c r="G566" s="1"/>
      <c r="H566" s="1"/>
      <c r="I566" s="1"/>
      <c r="J566" s="1"/>
      <c r="K566" s="2"/>
      <c r="L566" s="3"/>
      <c r="M566" s="3"/>
      <c r="N566" s="3"/>
      <c r="O566" s="3"/>
      <c r="P566" s="3"/>
      <c r="Q566" s="1"/>
      <c r="R566" s="1"/>
      <c r="S566" s="1"/>
    </row>
    <row r="567" spans="5:19" ht="15.75" customHeight="1">
      <c r="E567" s="1"/>
      <c r="F567" s="1"/>
      <c r="G567" s="1"/>
      <c r="H567" s="1"/>
      <c r="I567" s="1"/>
      <c r="J567" s="1"/>
      <c r="K567" s="2"/>
      <c r="L567" s="3"/>
      <c r="M567" s="3"/>
      <c r="N567" s="3"/>
      <c r="O567" s="3"/>
      <c r="P567" s="3"/>
      <c r="Q567" s="1"/>
      <c r="R567" s="1"/>
      <c r="S567" s="1"/>
    </row>
    <row r="568" spans="5:19" ht="15.75" customHeight="1">
      <c r="E568" s="1"/>
      <c r="F568" s="1"/>
      <c r="G568" s="1"/>
      <c r="H568" s="1"/>
      <c r="I568" s="1"/>
      <c r="J568" s="1"/>
      <c r="K568" s="2"/>
      <c r="L568" s="3"/>
      <c r="M568" s="3"/>
      <c r="N568" s="3"/>
      <c r="O568" s="3"/>
      <c r="P568" s="3"/>
      <c r="Q568" s="1"/>
      <c r="R568" s="1"/>
      <c r="S568" s="1"/>
    </row>
    <row r="569" spans="5:19" ht="15.75" customHeight="1">
      <c r="E569" s="1"/>
      <c r="F569" s="1"/>
      <c r="G569" s="1"/>
      <c r="H569" s="1"/>
      <c r="I569" s="1"/>
      <c r="J569" s="1"/>
      <c r="K569" s="2"/>
      <c r="L569" s="3"/>
      <c r="M569" s="3"/>
      <c r="N569" s="3"/>
      <c r="O569" s="3"/>
      <c r="P569" s="3"/>
      <c r="Q569" s="1"/>
      <c r="R569" s="1"/>
      <c r="S569" s="1"/>
    </row>
    <row r="570" spans="5:19" ht="15.75" customHeight="1">
      <c r="E570" s="1"/>
      <c r="F570" s="1"/>
      <c r="G570" s="1"/>
      <c r="H570" s="1"/>
      <c r="I570" s="1"/>
      <c r="J570" s="1"/>
      <c r="K570" s="2"/>
      <c r="L570" s="3"/>
      <c r="M570" s="3"/>
      <c r="N570" s="3"/>
      <c r="O570" s="3"/>
      <c r="P570" s="3"/>
      <c r="Q570" s="1"/>
      <c r="R570" s="1"/>
      <c r="S570" s="1"/>
    </row>
    <row r="571" spans="5:19" ht="15.75" customHeight="1">
      <c r="E571" s="1"/>
      <c r="F571" s="1"/>
      <c r="G571" s="1"/>
      <c r="H571" s="1"/>
      <c r="I571" s="1"/>
      <c r="J571" s="1"/>
      <c r="K571" s="2"/>
      <c r="L571" s="3"/>
      <c r="M571" s="3"/>
      <c r="N571" s="3"/>
      <c r="O571" s="3"/>
      <c r="P571" s="3"/>
      <c r="Q571" s="1"/>
      <c r="R571" s="1"/>
      <c r="S571" s="1"/>
    </row>
    <row r="572" spans="5:19" ht="15.75" customHeight="1">
      <c r="E572" s="1"/>
      <c r="F572" s="1"/>
      <c r="G572" s="1"/>
      <c r="H572" s="1"/>
      <c r="I572" s="1"/>
      <c r="J572" s="1"/>
      <c r="K572" s="2"/>
      <c r="L572" s="3"/>
      <c r="M572" s="3"/>
      <c r="N572" s="3"/>
      <c r="O572" s="3"/>
      <c r="P572" s="3"/>
      <c r="Q572" s="1"/>
      <c r="R572" s="1"/>
      <c r="S572" s="1"/>
    </row>
    <row r="573" spans="5:19" ht="15.75" customHeight="1">
      <c r="E573" s="1"/>
      <c r="F573" s="1"/>
      <c r="G573" s="1"/>
      <c r="H573" s="1"/>
      <c r="I573" s="1"/>
      <c r="J573" s="1"/>
      <c r="K573" s="2"/>
      <c r="L573" s="3"/>
      <c r="M573" s="3"/>
      <c r="N573" s="3"/>
      <c r="O573" s="3"/>
      <c r="P573" s="3"/>
      <c r="Q573" s="1"/>
      <c r="R573" s="1"/>
      <c r="S573" s="1"/>
    </row>
    <row r="574" spans="5:19" ht="15.75" customHeight="1">
      <c r="E574" s="1"/>
      <c r="F574" s="1"/>
      <c r="G574" s="1"/>
      <c r="H574" s="1"/>
      <c r="I574" s="1"/>
      <c r="J574" s="1"/>
      <c r="K574" s="2"/>
      <c r="L574" s="3"/>
      <c r="M574" s="3"/>
      <c r="N574" s="3"/>
      <c r="O574" s="3"/>
      <c r="P574" s="3"/>
      <c r="Q574" s="1"/>
      <c r="R574" s="1"/>
      <c r="S574" s="1"/>
    </row>
    <row r="575" spans="5:19" ht="15.75" customHeight="1">
      <c r="E575" s="1"/>
      <c r="F575" s="1"/>
      <c r="G575" s="1"/>
      <c r="H575" s="1"/>
      <c r="I575" s="1"/>
      <c r="J575" s="1"/>
      <c r="K575" s="2"/>
      <c r="L575" s="3"/>
      <c r="M575" s="3"/>
      <c r="N575" s="3"/>
      <c r="O575" s="3"/>
      <c r="P575" s="3"/>
      <c r="Q575" s="1"/>
      <c r="R575" s="1"/>
      <c r="S575" s="1"/>
    </row>
    <row r="576" spans="5:19" ht="15.75" customHeight="1">
      <c r="E576" s="1"/>
      <c r="F576" s="1"/>
      <c r="G576" s="1"/>
      <c r="H576" s="1"/>
      <c r="I576" s="1"/>
      <c r="J576" s="1"/>
      <c r="K576" s="2"/>
      <c r="L576" s="3"/>
      <c r="M576" s="3"/>
      <c r="N576" s="3"/>
      <c r="O576" s="3"/>
      <c r="P576" s="3"/>
      <c r="Q576" s="1"/>
      <c r="R576" s="1"/>
      <c r="S576" s="1"/>
    </row>
    <row r="577" spans="5:19" ht="15.75" customHeight="1">
      <c r="E577" s="1"/>
      <c r="F577" s="1"/>
      <c r="G577" s="1"/>
      <c r="H577" s="1"/>
      <c r="I577" s="1"/>
      <c r="J577" s="1"/>
      <c r="K577" s="2"/>
      <c r="L577" s="3"/>
      <c r="M577" s="3"/>
      <c r="N577" s="3"/>
      <c r="O577" s="3"/>
      <c r="P577" s="3"/>
      <c r="Q577" s="1"/>
      <c r="R577" s="1"/>
      <c r="S577" s="1"/>
    </row>
    <row r="578" spans="5:19" ht="15.75" customHeight="1">
      <c r="E578" s="1"/>
      <c r="F578" s="1"/>
      <c r="G578" s="1"/>
      <c r="H578" s="1"/>
      <c r="I578" s="1"/>
      <c r="J578" s="1"/>
      <c r="K578" s="2"/>
      <c r="L578" s="3"/>
      <c r="M578" s="3"/>
      <c r="N578" s="3"/>
      <c r="O578" s="3"/>
      <c r="P578" s="3"/>
      <c r="Q578" s="1"/>
      <c r="R578" s="1"/>
      <c r="S578" s="1"/>
    </row>
    <row r="579" spans="5:19" ht="15.75" customHeight="1">
      <c r="E579" s="1"/>
      <c r="F579" s="1"/>
      <c r="G579" s="1"/>
      <c r="H579" s="1"/>
      <c r="I579" s="1"/>
      <c r="J579" s="1"/>
      <c r="K579" s="2"/>
      <c r="L579" s="3"/>
      <c r="M579" s="3"/>
      <c r="N579" s="3"/>
      <c r="O579" s="3"/>
      <c r="P579" s="3"/>
      <c r="Q579" s="1"/>
      <c r="R579" s="1"/>
      <c r="S579" s="1"/>
    </row>
    <row r="580" spans="5:19" ht="15.75" customHeight="1">
      <c r="E580" s="1"/>
      <c r="F580" s="1"/>
      <c r="G580" s="1"/>
      <c r="H580" s="1"/>
      <c r="I580" s="1"/>
      <c r="J580" s="1"/>
      <c r="K580" s="2"/>
      <c r="L580" s="3"/>
      <c r="M580" s="3"/>
      <c r="N580" s="3"/>
      <c r="O580" s="3"/>
      <c r="P580" s="3"/>
      <c r="Q580" s="1"/>
      <c r="R580" s="1"/>
      <c r="S580" s="1"/>
    </row>
    <row r="581" spans="5:19" ht="15.75" customHeight="1">
      <c r="E581" s="1"/>
      <c r="F581" s="1"/>
      <c r="G581" s="1"/>
      <c r="H581" s="1"/>
      <c r="I581" s="1"/>
      <c r="J581" s="1"/>
      <c r="K581" s="2"/>
      <c r="L581" s="3"/>
      <c r="M581" s="3"/>
      <c r="N581" s="3"/>
      <c r="O581" s="3"/>
      <c r="P581" s="3"/>
      <c r="Q581" s="1"/>
      <c r="R581" s="1"/>
      <c r="S581" s="1"/>
    </row>
    <row r="582" spans="5:19" ht="15.75" customHeight="1">
      <c r="E582" s="1"/>
      <c r="F582" s="1"/>
      <c r="G582" s="1"/>
      <c r="H582" s="1"/>
      <c r="I582" s="1"/>
      <c r="J582" s="1"/>
      <c r="K582" s="2"/>
      <c r="L582" s="3"/>
      <c r="M582" s="3"/>
      <c r="N582" s="3"/>
      <c r="O582" s="3"/>
      <c r="P582" s="3"/>
      <c r="Q582" s="1"/>
      <c r="R582" s="1"/>
      <c r="S582" s="1"/>
    </row>
    <row r="583" spans="5:19" ht="15.75" customHeight="1">
      <c r="E583" s="1"/>
      <c r="F583" s="1"/>
      <c r="G583" s="1"/>
      <c r="H583" s="1"/>
      <c r="I583" s="1"/>
      <c r="J583" s="1"/>
      <c r="K583" s="2"/>
      <c r="L583" s="3"/>
      <c r="M583" s="3"/>
      <c r="N583" s="3"/>
      <c r="O583" s="3"/>
      <c r="P583" s="3"/>
      <c r="Q583" s="1"/>
      <c r="R583" s="1"/>
      <c r="S583" s="1"/>
    </row>
    <row r="584" spans="5:19" ht="15.75" customHeight="1">
      <c r="E584" s="1"/>
      <c r="F584" s="1"/>
      <c r="G584" s="1"/>
      <c r="H584" s="1"/>
      <c r="I584" s="1"/>
      <c r="J584" s="1"/>
      <c r="K584" s="2"/>
      <c r="L584" s="3"/>
      <c r="M584" s="3"/>
      <c r="N584" s="3"/>
      <c r="O584" s="3"/>
      <c r="P584" s="3"/>
      <c r="Q584" s="1"/>
      <c r="R584" s="1"/>
      <c r="S584" s="1"/>
    </row>
    <row r="585" spans="5:19" ht="15.75" customHeight="1">
      <c r="E585" s="1"/>
      <c r="F585" s="1"/>
      <c r="G585" s="1"/>
      <c r="H585" s="1"/>
      <c r="I585" s="1"/>
      <c r="J585" s="1"/>
      <c r="K585" s="2"/>
      <c r="L585" s="3"/>
      <c r="M585" s="3"/>
      <c r="N585" s="3"/>
      <c r="O585" s="3"/>
      <c r="P585" s="3"/>
      <c r="Q585" s="1"/>
      <c r="R585" s="1"/>
      <c r="S585" s="1"/>
    </row>
    <row r="586" spans="5:19" ht="15.75" customHeight="1">
      <c r="E586" s="1"/>
      <c r="F586" s="1"/>
      <c r="G586" s="1"/>
      <c r="H586" s="1"/>
      <c r="I586" s="1"/>
      <c r="J586" s="1"/>
      <c r="K586" s="2"/>
      <c r="L586" s="3"/>
      <c r="M586" s="3"/>
      <c r="N586" s="3"/>
      <c r="O586" s="3"/>
      <c r="P586" s="3"/>
      <c r="Q586" s="1"/>
      <c r="R586" s="1"/>
      <c r="S586" s="1"/>
    </row>
    <row r="587" spans="5:19" ht="15.75" customHeight="1">
      <c r="E587" s="1"/>
      <c r="F587" s="1"/>
      <c r="G587" s="1"/>
      <c r="H587" s="1"/>
      <c r="I587" s="1"/>
      <c r="J587" s="1"/>
      <c r="K587" s="2"/>
      <c r="L587" s="3"/>
      <c r="M587" s="3"/>
      <c r="N587" s="3"/>
      <c r="O587" s="3"/>
      <c r="P587" s="3"/>
      <c r="Q587" s="1"/>
      <c r="R587" s="1"/>
      <c r="S587" s="1"/>
    </row>
    <row r="588" spans="5:19" ht="15.75" customHeight="1">
      <c r="E588" s="1"/>
      <c r="F588" s="1"/>
      <c r="G588" s="1"/>
      <c r="H588" s="1"/>
      <c r="I588" s="1"/>
      <c r="J588" s="1"/>
      <c r="K588" s="2"/>
      <c r="L588" s="3"/>
      <c r="M588" s="3"/>
      <c r="N588" s="3"/>
      <c r="O588" s="3"/>
      <c r="P588" s="3"/>
      <c r="Q588" s="1"/>
      <c r="R588" s="1"/>
      <c r="S588" s="1"/>
    </row>
    <row r="589" spans="5:19" ht="15.75" customHeight="1">
      <c r="E589" s="1"/>
      <c r="F589" s="1"/>
      <c r="G589" s="1"/>
      <c r="H589" s="1"/>
      <c r="I589" s="1"/>
      <c r="J589" s="1"/>
      <c r="K589" s="2"/>
      <c r="L589" s="3"/>
      <c r="M589" s="3"/>
      <c r="N589" s="3"/>
      <c r="O589" s="3"/>
      <c r="P589" s="3"/>
      <c r="Q589" s="1"/>
      <c r="R589" s="1"/>
      <c r="S589" s="1"/>
    </row>
    <row r="590" spans="5:19" ht="15.75" customHeight="1">
      <c r="E590" s="1"/>
      <c r="F590" s="1"/>
      <c r="G590" s="1"/>
      <c r="H590" s="1"/>
      <c r="I590" s="1"/>
      <c r="J590" s="1"/>
      <c r="K590" s="2"/>
      <c r="L590" s="3"/>
      <c r="M590" s="3"/>
      <c r="N590" s="3"/>
      <c r="O590" s="3"/>
      <c r="P590" s="3"/>
      <c r="Q590" s="1"/>
      <c r="R590" s="1"/>
      <c r="S590" s="1"/>
    </row>
    <row r="591" spans="5:19" ht="15.75" customHeight="1">
      <c r="E591" s="1"/>
      <c r="F591" s="1"/>
      <c r="G591" s="1"/>
      <c r="H591" s="1"/>
      <c r="I591" s="1"/>
      <c r="J591" s="1"/>
      <c r="K591" s="2"/>
      <c r="L591" s="3"/>
      <c r="M591" s="3"/>
      <c r="N591" s="3"/>
      <c r="O591" s="3"/>
      <c r="P591" s="3"/>
      <c r="Q591" s="1"/>
      <c r="R591" s="1"/>
      <c r="S591" s="1"/>
    </row>
    <row r="592" spans="5:19" ht="15.75" customHeight="1">
      <c r="E592" s="1"/>
      <c r="F592" s="1"/>
      <c r="G592" s="1"/>
      <c r="H592" s="1"/>
      <c r="I592" s="1"/>
      <c r="J592" s="1"/>
      <c r="K592" s="2"/>
      <c r="L592" s="3"/>
      <c r="M592" s="3"/>
      <c r="N592" s="3"/>
      <c r="O592" s="3"/>
      <c r="P592" s="3"/>
      <c r="Q592" s="1"/>
      <c r="R592" s="1"/>
      <c r="S592" s="1"/>
    </row>
    <row r="593" spans="5:19" ht="15.75" customHeight="1">
      <c r="E593" s="1"/>
      <c r="F593" s="1"/>
      <c r="G593" s="1"/>
      <c r="H593" s="1"/>
      <c r="I593" s="1"/>
      <c r="J593" s="1"/>
      <c r="K593" s="2"/>
      <c r="L593" s="3"/>
      <c r="M593" s="3"/>
      <c r="N593" s="3"/>
      <c r="O593" s="3"/>
      <c r="P593" s="3"/>
      <c r="Q593" s="1"/>
      <c r="R593" s="1"/>
      <c r="S593" s="1"/>
    </row>
    <row r="594" spans="5:19" ht="15.75" customHeight="1">
      <c r="E594" s="1"/>
      <c r="F594" s="1"/>
      <c r="G594" s="1"/>
      <c r="H594" s="1"/>
      <c r="I594" s="1"/>
      <c r="J594" s="1"/>
      <c r="K594" s="2"/>
      <c r="L594" s="3"/>
      <c r="M594" s="3"/>
      <c r="N594" s="3"/>
      <c r="O594" s="3"/>
      <c r="P594" s="3"/>
      <c r="Q594" s="1"/>
      <c r="R594" s="1"/>
      <c r="S594" s="1"/>
    </row>
    <row r="595" spans="5:19" ht="15.75" customHeight="1">
      <c r="E595" s="1"/>
      <c r="F595" s="1"/>
      <c r="G595" s="1"/>
      <c r="H595" s="1"/>
      <c r="I595" s="1"/>
      <c r="J595" s="1"/>
      <c r="K595" s="2"/>
      <c r="L595" s="3"/>
      <c r="M595" s="3"/>
      <c r="N595" s="3"/>
      <c r="O595" s="3"/>
      <c r="P595" s="3"/>
      <c r="Q595" s="1"/>
      <c r="R595" s="1"/>
      <c r="S595" s="1"/>
    </row>
    <row r="596" spans="5:19" ht="15.75" customHeight="1">
      <c r="E596" s="1"/>
      <c r="F596" s="1"/>
      <c r="G596" s="1"/>
      <c r="H596" s="1"/>
      <c r="I596" s="1"/>
      <c r="J596" s="1"/>
      <c r="K596" s="2"/>
      <c r="L596" s="3"/>
      <c r="M596" s="3"/>
      <c r="N596" s="3"/>
      <c r="O596" s="3"/>
      <c r="P596" s="3"/>
      <c r="Q596" s="1"/>
      <c r="R596" s="1"/>
      <c r="S596" s="1"/>
    </row>
    <row r="597" spans="5:19" ht="15.75" customHeight="1">
      <c r="E597" s="1"/>
      <c r="F597" s="1"/>
      <c r="G597" s="1"/>
      <c r="H597" s="1"/>
      <c r="I597" s="1"/>
      <c r="J597" s="1"/>
      <c r="K597" s="2"/>
      <c r="L597" s="3"/>
      <c r="M597" s="3"/>
      <c r="N597" s="3"/>
      <c r="O597" s="3"/>
      <c r="P597" s="3"/>
      <c r="Q597" s="1"/>
      <c r="R597" s="1"/>
      <c r="S597" s="1"/>
    </row>
    <row r="598" spans="5:19" ht="15.75" customHeight="1">
      <c r="E598" s="1"/>
      <c r="F598" s="1"/>
      <c r="G598" s="1"/>
      <c r="H598" s="1"/>
      <c r="I598" s="1"/>
      <c r="J598" s="1"/>
      <c r="K598" s="2"/>
      <c r="L598" s="3"/>
      <c r="M598" s="3"/>
      <c r="N598" s="3"/>
      <c r="O598" s="3"/>
      <c r="P598" s="3"/>
      <c r="Q598" s="1"/>
      <c r="R598" s="1"/>
      <c r="S598" s="1"/>
    </row>
    <row r="599" spans="5:19" ht="15.75" customHeight="1">
      <c r="E599" s="1"/>
      <c r="F599" s="1"/>
      <c r="G599" s="1"/>
      <c r="H599" s="1"/>
      <c r="I599" s="1"/>
      <c r="J599" s="1"/>
      <c r="K599" s="2"/>
      <c r="L599" s="3"/>
      <c r="M599" s="3"/>
      <c r="N599" s="3"/>
      <c r="O599" s="3"/>
      <c r="P599" s="3"/>
      <c r="Q599" s="1"/>
      <c r="R599" s="1"/>
      <c r="S599" s="1"/>
    </row>
    <row r="600" spans="5:19" ht="15.75" customHeight="1">
      <c r="E600" s="1"/>
      <c r="F600" s="1"/>
      <c r="G600" s="1"/>
      <c r="H600" s="1"/>
      <c r="I600" s="1"/>
      <c r="J600" s="1"/>
      <c r="K600" s="2"/>
      <c r="L600" s="3"/>
      <c r="M600" s="3"/>
      <c r="N600" s="3"/>
      <c r="O600" s="3"/>
      <c r="P600" s="3"/>
      <c r="Q600" s="1"/>
      <c r="R600" s="1"/>
      <c r="S600" s="1"/>
    </row>
    <row r="601" spans="5:19" ht="15.75" customHeight="1">
      <c r="E601" s="1"/>
      <c r="F601" s="1"/>
      <c r="G601" s="1"/>
      <c r="H601" s="1"/>
      <c r="I601" s="1"/>
      <c r="J601" s="1"/>
      <c r="K601" s="2"/>
      <c r="L601" s="3"/>
      <c r="M601" s="3"/>
      <c r="N601" s="3"/>
      <c r="O601" s="3"/>
      <c r="P601" s="3"/>
      <c r="Q601" s="1"/>
      <c r="R601" s="1"/>
      <c r="S601" s="1"/>
    </row>
    <row r="602" spans="5:19" ht="15.75" customHeight="1">
      <c r="E602" s="1"/>
      <c r="F602" s="1"/>
      <c r="G602" s="1"/>
      <c r="H602" s="1"/>
      <c r="I602" s="1"/>
      <c r="J602" s="1"/>
      <c r="K602" s="2"/>
      <c r="L602" s="3"/>
      <c r="M602" s="3"/>
      <c r="N602" s="3"/>
      <c r="O602" s="3"/>
      <c r="P602" s="3"/>
      <c r="Q602" s="1"/>
      <c r="R602" s="1"/>
      <c r="S602" s="1"/>
    </row>
    <row r="603" spans="5:19" ht="15.75" customHeight="1">
      <c r="E603" s="1"/>
      <c r="F603" s="1"/>
      <c r="G603" s="1"/>
      <c r="H603" s="1"/>
      <c r="I603" s="1"/>
      <c r="J603" s="1"/>
      <c r="K603" s="2"/>
      <c r="L603" s="3"/>
      <c r="M603" s="3"/>
      <c r="N603" s="3"/>
      <c r="O603" s="3"/>
      <c r="P603" s="3"/>
      <c r="Q603" s="1"/>
      <c r="R603" s="1"/>
      <c r="S603" s="1"/>
    </row>
    <row r="604" spans="5:19" ht="15.75" customHeight="1">
      <c r="E604" s="1"/>
      <c r="F604" s="1"/>
      <c r="G604" s="1"/>
      <c r="H604" s="1"/>
      <c r="I604" s="1"/>
      <c r="J604" s="1"/>
      <c r="K604" s="2"/>
      <c r="L604" s="3"/>
      <c r="M604" s="3"/>
      <c r="N604" s="3"/>
      <c r="O604" s="3"/>
      <c r="P604" s="3"/>
      <c r="Q604" s="1"/>
      <c r="R604" s="1"/>
      <c r="S604" s="1"/>
    </row>
    <row r="605" spans="5:19" ht="15.75" customHeight="1">
      <c r="E605" s="1"/>
      <c r="F605" s="1"/>
      <c r="G605" s="1"/>
      <c r="H605" s="1"/>
      <c r="I605" s="1"/>
      <c r="J605" s="1"/>
      <c r="K605" s="2"/>
      <c r="L605" s="3"/>
      <c r="M605" s="3"/>
      <c r="N605" s="3"/>
      <c r="O605" s="3"/>
      <c r="P605" s="3"/>
      <c r="Q605" s="1"/>
      <c r="R605" s="1"/>
      <c r="S605" s="1"/>
    </row>
    <row r="606" spans="5:19" ht="15.75" customHeight="1">
      <c r="E606" s="1"/>
      <c r="F606" s="1"/>
      <c r="G606" s="1"/>
      <c r="H606" s="1"/>
      <c r="I606" s="1"/>
      <c r="J606" s="1"/>
      <c r="K606" s="2"/>
      <c r="L606" s="3"/>
      <c r="M606" s="3"/>
      <c r="N606" s="3"/>
      <c r="O606" s="3"/>
      <c r="P606" s="3"/>
      <c r="Q606" s="1"/>
      <c r="R606" s="1"/>
      <c r="S606" s="1"/>
    </row>
    <row r="607" spans="5:19" ht="15.75" customHeight="1">
      <c r="E607" s="1"/>
      <c r="F607" s="1"/>
      <c r="G607" s="1"/>
      <c r="H607" s="1"/>
      <c r="I607" s="1"/>
      <c r="J607" s="1"/>
      <c r="K607" s="2"/>
      <c r="L607" s="3"/>
      <c r="M607" s="3"/>
      <c r="N607" s="3"/>
      <c r="O607" s="3"/>
      <c r="P607" s="3"/>
      <c r="Q607" s="1"/>
      <c r="R607" s="1"/>
      <c r="S607" s="1"/>
    </row>
    <row r="608" spans="5:19" ht="15.75" customHeight="1">
      <c r="E608" s="1"/>
      <c r="F608" s="1"/>
      <c r="G608" s="1"/>
      <c r="H608" s="1"/>
      <c r="I608" s="1"/>
      <c r="J608" s="1"/>
      <c r="K608" s="2"/>
      <c r="L608" s="3"/>
      <c r="M608" s="3"/>
      <c r="N608" s="3"/>
      <c r="O608" s="3"/>
      <c r="P608" s="3"/>
      <c r="Q608" s="1"/>
      <c r="R608" s="1"/>
      <c r="S608" s="1"/>
    </row>
    <row r="609" spans="5:19" ht="15.75" customHeight="1">
      <c r="E609" s="1"/>
      <c r="F609" s="1"/>
      <c r="G609" s="1"/>
      <c r="H609" s="1"/>
      <c r="I609" s="1"/>
      <c r="J609" s="1"/>
      <c r="K609" s="2"/>
      <c r="L609" s="3"/>
      <c r="M609" s="3"/>
      <c r="N609" s="3"/>
      <c r="O609" s="3"/>
      <c r="P609" s="3"/>
      <c r="Q609" s="1"/>
      <c r="R609" s="1"/>
      <c r="S609" s="1"/>
    </row>
    <row r="610" spans="5:19" ht="15.75" customHeight="1">
      <c r="E610" s="1"/>
      <c r="F610" s="1"/>
      <c r="G610" s="1"/>
      <c r="H610" s="1"/>
      <c r="I610" s="1"/>
      <c r="J610" s="1"/>
      <c r="K610" s="2"/>
      <c r="L610" s="3"/>
      <c r="M610" s="3"/>
      <c r="N610" s="3"/>
      <c r="O610" s="3"/>
      <c r="P610" s="3"/>
      <c r="Q610" s="1"/>
      <c r="R610" s="1"/>
      <c r="S610" s="1"/>
    </row>
    <row r="611" spans="5:19" ht="15.75" customHeight="1">
      <c r="E611" s="1"/>
      <c r="F611" s="1"/>
      <c r="G611" s="1"/>
      <c r="H611" s="1"/>
      <c r="I611" s="1"/>
      <c r="J611" s="1"/>
      <c r="K611" s="2"/>
      <c r="L611" s="3"/>
      <c r="M611" s="3"/>
      <c r="N611" s="3"/>
      <c r="O611" s="3"/>
      <c r="P611" s="3"/>
      <c r="Q611" s="1"/>
      <c r="R611" s="1"/>
      <c r="S611" s="1"/>
    </row>
    <row r="612" spans="5:19" ht="15.75" customHeight="1">
      <c r="E612" s="1"/>
      <c r="F612" s="1"/>
      <c r="G612" s="1"/>
      <c r="H612" s="1"/>
      <c r="I612" s="1"/>
      <c r="J612" s="1"/>
      <c r="K612" s="2"/>
      <c r="L612" s="3"/>
      <c r="M612" s="3"/>
      <c r="N612" s="3"/>
      <c r="O612" s="3"/>
      <c r="P612" s="3"/>
      <c r="Q612" s="1"/>
      <c r="R612" s="1"/>
      <c r="S612" s="1"/>
    </row>
    <row r="613" spans="5:19" ht="15.75" customHeight="1">
      <c r="E613" s="1"/>
      <c r="F613" s="1"/>
      <c r="G613" s="1"/>
      <c r="H613" s="1"/>
      <c r="I613" s="1"/>
      <c r="J613" s="1"/>
      <c r="K613" s="2"/>
      <c r="L613" s="3"/>
      <c r="M613" s="3"/>
      <c r="N613" s="3"/>
      <c r="O613" s="3"/>
      <c r="P613" s="3"/>
      <c r="Q613" s="1"/>
      <c r="R613" s="1"/>
      <c r="S613" s="1"/>
    </row>
    <row r="614" spans="5:19" ht="15.75" customHeight="1">
      <c r="E614" s="1"/>
      <c r="F614" s="1"/>
      <c r="G614" s="1"/>
      <c r="H614" s="1"/>
      <c r="I614" s="1"/>
      <c r="J614" s="1"/>
      <c r="K614" s="2"/>
      <c r="L614" s="3"/>
      <c r="M614" s="3"/>
      <c r="N614" s="3"/>
      <c r="O614" s="3"/>
      <c r="P614" s="3"/>
      <c r="Q614" s="1"/>
      <c r="R614" s="1"/>
      <c r="S614" s="1"/>
    </row>
    <row r="615" spans="5:19" ht="15.75" customHeight="1">
      <c r="E615" s="1"/>
      <c r="F615" s="1"/>
      <c r="G615" s="1"/>
      <c r="H615" s="1"/>
      <c r="I615" s="1"/>
      <c r="J615" s="1"/>
      <c r="K615" s="2"/>
      <c r="L615" s="3"/>
      <c r="M615" s="3"/>
      <c r="N615" s="3"/>
      <c r="O615" s="3"/>
      <c r="P615" s="3"/>
      <c r="Q615" s="1"/>
      <c r="R615" s="1"/>
      <c r="S615" s="1"/>
    </row>
    <row r="616" spans="5:19" ht="15.75" customHeight="1">
      <c r="E616" s="1"/>
      <c r="F616" s="1"/>
      <c r="G616" s="1"/>
      <c r="H616" s="1"/>
      <c r="I616" s="1"/>
      <c r="J616" s="1"/>
      <c r="K616" s="2"/>
      <c r="L616" s="3"/>
      <c r="M616" s="3"/>
      <c r="N616" s="3"/>
      <c r="O616" s="3"/>
      <c r="P616" s="3"/>
      <c r="Q616" s="1"/>
      <c r="R616" s="1"/>
      <c r="S616" s="1"/>
    </row>
    <row r="617" spans="5:19" ht="15.75" customHeight="1">
      <c r="E617" s="1"/>
      <c r="F617" s="1"/>
      <c r="G617" s="1"/>
      <c r="H617" s="1"/>
      <c r="I617" s="1"/>
      <c r="J617" s="1"/>
      <c r="K617" s="2"/>
      <c r="L617" s="3"/>
      <c r="M617" s="3"/>
      <c r="N617" s="3"/>
      <c r="O617" s="3"/>
      <c r="P617" s="3"/>
      <c r="Q617" s="1"/>
      <c r="R617" s="1"/>
      <c r="S617" s="1"/>
    </row>
    <row r="618" spans="5:19" ht="15.75" customHeight="1">
      <c r="E618" s="1"/>
      <c r="F618" s="1"/>
      <c r="G618" s="1"/>
      <c r="H618" s="1"/>
      <c r="I618" s="1"/>
      <c r="J618" s="1"/>
      <c r="K618" s="2"/>
      <c r="L618" s="3"/>
      <c r="M618" s="3"/>
      <c r="N618" s="3"/>
      <c r="O618" s="3"/>
      <c r="P618" s="3"/>
      <c r="Q618" s="1"/>
      <c r="R618" s="1"/>
      <c r="S618" s="1"/>
    </row>
    <row r="619" spans="5:19" ht="15.75" customHeight="1">
      <c r="E619" s="1"/>
      <c r="F619" s="1"/>
      <c r="G619" s="1"/>
      <c r="H619" s="1"/>
      <c r="I619" s="1"/>
      <c r="J619" s="1"/>
      <c r="K619" s="2"/>
      <c r="L619" s="3"/>
      <c r="M619" s="3"/>
      <c r="N619" s="3"/>
      <c r="O619" s="3"/>
      <c r="P619" s="3"/>
      <c r="Q619" s="1"/>
      <c r="R619" s="1"/>
      <c r="S619" s="1"/>
    </row>
    <row r="620" spans="5:19" ht="15.75" customHeight="1">
      <c r="E620" s="1"/>
      <c r="F620" s="1"/>
      <c r="G620" s="1"/>
      <c r="H620" s="1"/>
      <c r="I620" s="1"/>
      <c r="J620" s="1"/>
      <c r="K620" s="2"/>
      <c r="L620" s="3"/>
      <c r="M620" s="3"/>
      <c r="N620" s="3"/>
      <c r="O620" s="3"/>
      <c r="P620" s="3"/>
      <c r="Q620" s="1"/>
      <c r="R620" s="1"/>
      <c r="S620" s="1"/>
    </row>
    <row r="621" spans="5:19" ht="15.75" customHeight="1">
      <c r="E621" s="1"/>
      <c r="F621" s="1"/>
      <c r="G621" s="1"/>
      <c r="H621" s="1"/>
      <c r="I621" s="1"/>
      <c r="J621" s="1"/>
      <c r="K621" s="2"/>
      <c r="L621" s="3"/>
      <c r="M621" s="3"/>
      <c r="N621" s="3"/>
      <c r="O621" s="3"/>
      <c r="P621" s="3"/>
      <c r="Q621" s="1"/>
      <c r="R621" s="1"/>
      <c r="S621" s="1"/>
    </row>
    <row r="622" spans="5:19" ht="15.75" customHeight="1">
      <c r="E622" s="1"/>
      <c r="F622" s="1"/>
      <c r="G622" s="1"/>
      <c r="H622" s="1"/>
      <c r="I622" s="1"/>
      <c r="J622" s="1"/>
      <c r="K622" s="2"/>
      <c r="L622" s="3"/>
      <c r="M622" s="3"/>
      <c r="N622" s="3"/>
      <c r="O622" s="3"/>
      <c r="P622" s="3"/>
      <c r="Q622" s="1"/>
      <c r="R622" s="1"/>
      <c r="S622" s="1"/>
    </row>
    <row r="623" spans="5:19" ht="15.75" customHeight="1">
      <c r="E623" s="1"/>
      <c r="F623" s="1"/>
      <c r="G623" s="1"/>
      <c r="H623" s="1"/>
      <c r="I623" s="1"/>
      <c r="J623" s="1"/>
      <c r="K623" s="2"/>
      <c r="L623" s="3"/>
      <c r="M623" s="3"/>
      <c r="N623" s="3"/>
      <c r="O623" s="3"/>
      <c r="P623" s="3"/>
      <c r="Q623" s="1"/>
      <c r="R623" s="1"/>
      <c r="S623" s="1"/>
    </row>
    <row r="624" spans="5:19" ht="15.75" customHeight="1">
      <c r="E624" s="1"/>
      <c r="F624" s="1"/>
      <c r="G624" s="1"/>
      <c r="H624" s="1"/>
      <c r="I624" s="1"/>
      <c r="J624" s="1"/>
      <c r="K624" s="2"/>
      <c r="L624" s="3"/>
      <c r="M624" s="3"/>
      <c r="N624" s="3"/>
      <c r="O624" s="3"/>
      <c r="P624" s="3"/>
      <c r="Q624" s="1"/>
      <c r="R624" s="1"/>
      <c r="S624" s="1"/>
    </row>
    <row r="625" spans="5:19" ht="15.75" customHeight="1">
      <c r="E625" s="1"/>
      <c r="F625" s="1"/>
      <c r="G625" s="1"/>
      <c r="H625" s="1"/>
      <c r="I625" s="1"/>
      <c r="J625" s="1"/>
      <c r="K625" s="2"/>
      <c r="L625" s="3"/>
      <c r="M625" s="3"/>
      <c r="N625" s="3"/>
      <c r="O625" s="3"/>
      <c r="P625" s="3"/>
      <c r="Q625" s="1"/>
      <c r="R625" s="1"/>
      <c r="S625" s="1"/>
    </row>
    <row r="626" spans="5:19" ht="15.75" customHeight="1">
      <c r="E626" s="1"/>
      <c r="F626" s="1"/>
      <c r="G626" s="1"/>
      <c r="H626" s="1"/>
      <c r="I626" s="1"/>
      <c r="J626" s="1"/>
      <c r="K626" s="2"/>
      <c r="L626" s="3"/>
      <c r="M626" s="3"/>
      <c r="N626" s="3"/>
      <c r="O626" s="3"/>
      <c r="P626" s="3"/>
      <c r="Q626" s="1"/>
      <c r="R626" s="1"/>
      <c r="S626" s="1"/>
    </row>
    <row r="627" spans="5:19" ht="15.75" customHeight="1">
      <c r="E627" s="1"/>
      <c r="F627" s="1"/>
      <c r="G627" s="1"/>
      <c r="H627" s="1"/>
      <c r="I627" s="1"/>
      <c r="J627" s="1"/>
      <c r="K627" s="2"/>
      <c r="L627" s="3"/>
      <c r="M627" s="3"/>
      <c r="N627" s="3"/>
      <c r="O627" s="3"/>
      <c r="P627" s="3"/>
      <c r="Q627" s="1"/>
      <c r="R627" s="1"/>
      <c r="S627" s="1"/>
    </row>
    <row r="628" spans="5:19" ht="15.75" customHeight="1">
      <c r="E628" s="1"/>
      <c r="F628" s="1"/>
      <c r="G628" s="1"/>
      <c r="H628" s="1"/>
      <c r="I628" s="1"/>
      <c r="J628" s="1"/>
      <c r="K628" s="2"/>
      <c r="L628" s="3"/>
      <c r="M628" s="3"/>
      <c r="N628" s="3"/>
      <c r="O628" s="3"/>
      <c r="P628" s="3"/>
      <c r="Q628" s="1"/>
      <c r="R628" s="1"/>
      <c r="S628" s="1"/>
    </row>
    <row r="629" spans="5:19" ht="15.75" customHeight="1">
      <c r="E629" s="1"/>
      <c r="F629" s="1"/>
      <c r="G629" s="1"/>
      <c r="H629" s="1"/>
      <c r="I629" s="1"/>
      <c r="J629" s="1"/>
      <c r="K629" s="2"/>
      <c r="L629" s="3"/>
      <c r="M629" s="3"/>
      <c r="N629" s="3"/>
      <c r="O629" s="3"/>
      <c r="P629" s="3"/>
      <c r="Q629" s="1"/>
      <c r="R629" s="1"/>
      <c r="S629" s="1"/>
    </row>
    <row r="630" spans="5:19" ht="15.75" customHeight="1">
      <c r="E630" s="1"/>
      <c r="F630" s="1"/>
      <c r="G630" s="1"/>
      <c r="H630" s="1"/>
      <c r="I630" s="1"/>
      <c r="J630" s="1"/>
      <c r="K630" s="2"/>
      <c r="L630" s="3"/>
      <c r="M630" s="3"/>
      <c r="N630" s="3"/>
      <c r="O630" s="3"/>
      <c r="P630" s="3"/>
      <c r="Q630" s="1"/>
      <c r="R630" s="1"/>
      <c r="S630" s="1"/>
    </row>
    <row r="631" spans="5:19" ht="15.75" customHeight="1">
      <c r="E631" s="1"/>
      <c r="F631" s="1"/>
      <c r="G631" s="1"/>
      <c r="H631" s="1"/>
      <c r="I631" s="1"/>
      <c r="J631" s="1"/>
      <c r="K631" s="2"/>
      <c r="L631" s="3"/>
      <c r="M631" s="3"/>
      <c r="N631" s="3"/>
      <c r="O631" s="3"/>
      <c r="P631" s="3"/>
      <c r="Q631" s="1"/>
      <c r="R631" s="1"/>
      <c r="S631" s="1"/>
    </row>
    <row r="632" spans="5:19" ht="15.75" customHeight="1">
      <c r="E632" s="1"/>
      <c r="F632" s="1"/>
      <c r="G632" s="1"/>
      <c r="H632" s="1"/>
      <c r="I632" s="1"/>
      <c r="J632" s="1"/>
      <c r="K632" s="2"/>
      <c r="L632" s="3"/>
      <c r="M632" s="3"/>
      <c r="N632" s="3"/>
      <c r="O632" s="3"/>
      <c r="P632" s="3"/>
      <c r="Q632" s="1"/>
      <c r="R632" s="1"/>
      <c r="S632" s="1"/>
    </row>
    <row r="633" spans="5:19" ht="15.75" customHeight="1">
      <c r="E633" s="1"/>
      <c r="F633" s="1"/>
      <c r="G633" s="1"/>
      <c r="H633" s="1"/>
      <c r="I633" s="1"/>
      <c r="J633" s="1"/>
      <c r="K633" s="2"/>
      <c r="L633" s="3"/>
      <c r="M633" s="3"/>
      <c r="N633" s="3"/>
      <c r="O633" s="3"/>
      <c r="P633" s="3"/>
      <c r="Q633" s="1"/>
      <c r="R633" s="1"/>
      <c r="S633" s="1"/>
    </row>
    <row r="634" spans="5:19" ht="15.75" customHeight="1">
      <c r="E634" s="1"/>
      <c r="F634" s="1"/>
      <c r="G634" s="1"/>
      <c r="H634" s="1"/>
      <c r="I634" s="1"/>
      <c r="J634" s="1"/>
      <c r="K634" s="2"/>
      <c r="L634" s="3"/>
      <c r="M634" s="3"/>
      <c r="N634" s="3"/>
      <c r="O634" s="3"/>
      <c r="P634" s="3"/>
      <c r="Q634" s="1"/>
      <c r="R634" s="1"/>
      <c r="S634" s="1"/>
    </row>
    <row r="635" spans="5:19" ht="15.75" customHeight="1">
      <c r="E635" s="1"/>
      <c r="F635" s="1"/>
      <c r="G635" s="1"/>
      <c r="H635" s="1"/>
      <c r="I635" s="1"/>
      <c r="J635" s="1"/>
      <c r="K635" s="2"/>
      <c r="L635" s="3"/>
      <c r="M635" s="3"/>
      <c r="N635" s="3"/>
      <c r="O635" s="3"/>
      <c r="P635" s="3"/>
      <c r="Q635" s="1"/>
      <c r="R635" s="1"/>
      <c r="S635" s="1"/>
    </row>
    <row r="636" spans="5:19" ht="15.75" customHeight="1">
      <c r="E636" s="1"/>
      <c r="F636" s="1"/>
      <c r="G636" s="1"/>
      <c r="H636" s="1"/>
      <c r="I636" s="1"/>
      <c r="J636" s="1"/>
      <c r="K636" s="2"/>
      <c r="L636" s="3"/>
      <c r="M636" s="3"/>
      <c r="N636" s="3"/>
      <c r="O636" s="3"/>
      <c r="P636" s="3"/>
      <c r="Q636" s="1"/>
      <c r="R636" s="1"/>
      <c r="S636" s="1"/>
    </row>
    <row r="637" spans="5:19" ht="15.75" customHeight="1">
      <c r="E637" s="1"/>
      <c r="F637" s="1"/>
      <c r="G637" s="1"/>
      <c r="H637" s="1"/>
      <c r="I637" s="1"/>
      <c r="J637" s="1"/>
      <c r="K637" s="2"/>
      <c r="L637" s="3"/>
      <c r="M637" s="3"/>
      <c r="N637" s="3"/>
      <c r="O637" s="3"/>
      <c r="P637" s="3"/>
      <c r="Q637" s="1"/>
      <c r="R637" s="1"/>
      <c r="S637" s="1"/>
    </row>
    <row r="638" spans="5:19" ht="15.75" customHeight="1">
      <c r="E638" s="1"/>
      <c r="F638" s="1"/>
      <c r="G638" s="1"/>
      <c r="H638" s="1"/>
      <c r="I638" s="1"/>
      <c r="J638" s="1"/>
      <c r="K638" s="2"/>
      <c r="L638" s="3"/>
      <c r="M638" s="3"/>
      <c r="N638" s="3"/>
      <c r="O638" s="3"/>
      <c r="P638" s="3"/>
      <c r="Q638" s="1"/>
      <c r="R638" s="1"/>
      <c r="S638" s="1"/>
    </row>
    <row r="639" spans="5:19" ht="15.75" customHeight="1">
      <c r="E639" s="1"/>
      <c r="F639" s="1"/>
      <c r="G639" s="1"/>
      <c r="H639" s="1"/>
      <c r="I639" s="1"/>
      <c r="J639" s="1"/>
      <c r="K639" s="2"/>
      <c r="L639" s="3"/>
      <c r="M639" s="3"/>
      <c r="N639" s="3"/>
      <c r="O639" s="3"/>
      <c r="P639" s="3"/>
      <c r="Q639" s="1"/>
      <c r="R639" s="1"/>
      <c r="S639" s="1"/>
    </row>
    <row r="640" spans="5:19" ht="15.75" customHeight="1">
      <c r="E640" s="1"/>
      <c r="F640" s="1"/>
      <c r="G640" s="1"/>
      <c r="H640" s="1"/>
      <c r="I640" s="1"/>
      <c r="J640" s="1"/>
      <c r="K640" s="2"/>
      <c r="L640" s="3"/>
      <c r="M640" s="3"/>
      <c r="N640" s="3"/>
      <c r="O640" s="3"/>
      <c r="P640" s="3"/>
      <c r="Q640" s="1"/>
      <c r="R640" s="1"/>
      <c r="S640" s="1"/>
    </row>
    <row r="641" spans="5:19" ht="15.75" customHeight="1">
      <c r="E641" s="1"/>
      <c r="F641" s="1"/>
      <c r="G641" s="1"/>
      <c r="H641" s="1"/>
      <c r="I641" s="1"/>
      <c r="J641" s="1"/>
      <c r="K641" s="2"/>
      <c r="L641" s="3"/>
      <c r="M641" s="3"/>
      <c r="N641" s="3"/>
      <c r="O641" s="3"/>
      <c r="P641" s="3"/>
      <c r="Q641" s="1"/>
      <c r="R641" s="1"/>
      <c r="S641" s="1"/>
    </row>
    <row r="642" spans="5:19" ht="15.75" customHeight="1">
      <c r="E642" s="1"/>
      <c r="F642" s="1"/>
      <c r="G642" s="1"/>
      <c r="H642" s="1"/>
      <c r="I642" s="1"/>
      <c r="J642" s="1"/>
      <c r="K642" s="2"/>
      <c r="L642" s="3"/>
      <c r="M642" s="3"/>
      <c r="N642" s="3"/>
      <c r="O642" s="3"/>
      <c r="P642" s="3"/>
      <c r="Q642" s="1"/>
      <c r="R642" s="1"/>
      <c r="S642" s="1"/>
    </row>
    <row r="643" spans="5:19" ht="15.75" customHeight="1">
      <c r="E643" s="1"/>
      <c r="F643" s="1"/>
      <c r="G643" s="1"/>
      <c r="H643" s="1"/>
      <c r="I643" s="1"/>
      <c r="J643" s="1"/>
      <c r="K643" s="2"/>
      <c r="L643" s="3"/>
      <c r="M643" s="3"/>
      <c r="N643" s="3"/>
      <c r="O643" s="3"/>
      <c r="P643" s="3"/>
      <c r="Q643" s="1"/>
      <c r="R643" s="1"/>
      <c r="S643" s="1"/>
    </row>
    <row r="644" spans="5:19" ht="15.75" customHeight="1">
      <c r="E644" s="1"/>
      <c r="F644" s="1"/>
      <c r="G644" s="1"/>
      <c r="H644" s="1"/>
      <c r="I644" s="1"/>
      <c r="J644" s="1"/>
      <c r="K644" s="2"/>
      <c r="L644" s="3"/>
      <c r="M644" s="3"/>
      <c r="N644" s="3"/>
      <c r="O644" s="3"/>
      <c r="P644" s="3"/>
      <c r="Q644" s="1"/>
      <c r="R644" s="1"/>
      <c r="S644" s="1"/>
    </row>
    <row r="645" spans="5:19" ht="15.75" customHeight="1">
      <c r="E645" s="1"/>
      <c r="F645" s="1"/>
      <c r="G645" s="1"/>
      <c r="H645" s="1"/>
      <c r="I645" s="1"/>
      <c r="J645" s="1"/>
      <c r="K645" s="2"/>
      <c r="L645" s="3"/>
      <c r="M645" s="3"/>
      <c r="N645" s="3"/>
      <c r="O645" s="3"/>
      <c r="P645" s="3"/>
      <c r="Q645" s="1"/>
      <c r="R645" s="1"/>
      <c r="S645" s="1"/>
    </row>
    <row r="646" spans="5:19" ht="15.75" customHeight="1">
      <c r="E646" s="1"/>
      <c r="F646" s="1"/>
      <c r="G646" s="1"/>
      <c r="H646" s="1"/>
      <c r="I646" s="1"/>
      <c r="J646" s="1"/>
      <c r="K646" s="2"/>
      <c r="L646" s="3"/>
      <c r="M646" s="3"/>
      <c r="N646" s="3"/>
      <c r="O646" s="3"/>
      <c r="P646" s="3"/>
      <c r="Q646" s="1"/>
      <c r="R646" s="1"/>
      <c r="S646" s="1"/>
    </row>
    <row r="647" spans="5:19" ht="15.75" customHeight="1">
      <c r="E647" s="1"/>
      <c r="F647" s="1"/>
      <c r="G647" s="1"/>
      <c r="H647" s="1"/>
      <c r="I647" s="1"/>
      <c r="J647" s="1"/>
      <c r="K647" s="2"/>
      <c r="L647" s="3"/>
      <c r="M647" s="3"/>
      <c r="N647" s="3"/>
      <c r="O647" s="3"/>
      <c r="P647" s="3"/>
      <c r="Q647" s="1"/>
      <c r="R647" s="1"/>
      <c r="S647" s="1"/>
    </row>
    <row r="648" spans="5:19" ht="15.75" customHeight="1">
      <c r="E648" s="1"/>
      <c r="F648" s="1"/>
      <c r="G648" s="1"/>
      <c r="H648" s="1"/>
      <c r="I648" s="1"/>
      <c r="J648" s="1"/>
      <c r="K648" s="2"/>
      <c r="L648" s="3"/>
      <c r="M648" s="3"/>
      <c r="N648" s="3"/>
      <c r="O648" s="3"/>
      <c r="P648" s="3"/>
      <c r="Q648" s="1"/>
      <c r="R648" s="1"/>
      <c r="S648" s="1"/>
    </row>
    <row r="649" spans="5:19" ht="15.75" customHeight="1">
      <c r="E649" s="1"/>
      <c r="F649" s="1"/>
      <c r="G649" s="1"/>
      <c r="H649" s="1"/>
      <c r="I649" s="1"/>
      <c r="J649" s="1"/>
      <c r="K649" s="2"/>
      <c r="L649" s="3"/>
      <c r="M649" s="3"/>
      <c r="N649" s="3"/>
      <c r="O649" s="3"/>
      <c r="P649" s="3"/>
      <c r="Q649" s="1"/>
      <c r="R649" s="1"/>
      <c r="S649" s="1"/>
    </row>
    <row r="650" spans="5:19" ht="15.75" customHeight="1">
      <c r="E650" s="1"/>
      <c r="F650" s="1"/>
      <c r="G650" s="1"/>
      <c r="H650" s="1"/>
      <c r="I650" s="1"/>
      <c r="J650" s="1"/>
      <c r="K650" s="2"/>
      <c r="L650" s="3"/>
      <c r="M650" s="3"/>
      <c r="N650" s="3"/>
      <c r="O650" s="3"/>
      <c r="P650" s="3"/>
      <c r="Q650" s="1"/>
      <c r="R650" s="1"/>
      <c r="S650" s="1"/>
    </row>
    <row r="651" spans="5:19" ht="15.75" customHeight="1">
      <c r="E651" s="1"/>
      <c r="F651" s="1"/>
      <c r="G651" s="1"/>
      <c r="H651" s="1"/>
      <c r="I651" s="1"/>
      <c r="J651" s="1"/>
      <c r="K651" s="2"/>
      <c r="L651" s="3"/>
      <c r="M651" s="3"/>
      <c r="N651" s="3"/>
      <c r="O651" s="3"/>
      <c r="P651" s="3"/>
      <c r="Q651" s="1"/>
      <c r="R651" s="1"/>
      <c r="S651" s="1"/>
    </row>
    <row r="652" spans="5:19" ht="15.75" customHeight="1">
      <c r="E652" s="1"/>
      <c r="F652" s="1"/>
      <c r="G652" s="1"/>
      <c r="H652" s="1"/>
      <c r="I652" s="1"/>
      <c r="J652" s="1"/>
      <c r="K652" s="2"/>
      <c r="L652" s="3"/>
      <c r="M652" s="3"/>
      <c r="N652" s="3"/>
      <c r="O652" s="3"/>
      <c r="P652" s="3"/>
      <c r="Q652" s="1"/>
      <c r="R652" s="1"/>
      <c r="S652" s="1"/>
    </row>
    <row r="653" spans="5:19" ht="15.75" customHeight="1">
      <c r="E653" s="1"/>
      <c r="F653" s="1"/>
      <c r="G653" s="1"/>
      <c r="H653" s="1"/>
      <c r="I653" s="1"/>
      <c r="J653" s="1"/>
      <c r="K653" s="2"/>
      <c r="L653" s="3"/>
      <c r="M653" s="3"/>
      <c r="N653" s="3"/>
      <c r="O653" s="3"/>
      <c r="P653" s="3"/>
      <c r="Q653" s="1"/>
      <c r="R653" s="1"/>
      <c r="S653" s="1"/>
    </row>
    <row r="654" spans="5:19" ht="15.75" customHeight="1">
      <c r="E654" s="1"/>
      <c r="F654" s="1"/>
      <c r="G654" s="1"/>
      <c r="H654" s="1"/>
      <c r="I654" s="1"/>
      <c r="J654" s="1"/>
      <c r="K654" s="2"/>
      <c r="L654" s="3"/>
      <c r="M654" s="3"/>
      <c r="N654" s="3"/>
      <c r="O654" s="3"/>
      <c r="P654" s="3"/>
      <c r="Q654" s="1"/>
      <c r="R654" s="1"/>
      <c r="S654" s="1"/>
    </row>
    <row r="655" spans="5:19" ht="15.75" customHeight="1">
      <c r="E655" s="1"/>
      <c r="F655" s="1"/>
      <c r="G655" s="1"/>
      <c r="H655" s="1"/>
      <c r="I655" s="1"/>
      <c r="J655" s="1"/>
      <c r="K655" s="2"/>
      <c r="L655" s="3"/>
      <c r="M655" s="3"/>
      <c r="N655" s="3"/>
      <c r="O655" s="3"/>
      <c r="P655" s="3"/>
      <c r="Q655" s="1"/>
      <c r="R655" s="1"/>
      <c r="S655" s="1"/>
    </row>
    <row r="656" spans="5:19" ht="15.75" customHeight="1">
      <c r="E656" s="1"/>
      <c r="F656" s="1"/>
      <c r="G656" s="1"/>
      <c r="H656" s="1"/>
      <c r="I656" s="1"/>
      <c r="J656" s="1"/>
      <c r="K656" s="2"/>
      <c r="L656" s="3"/>
      <c r="M656" s="3"/>
      <c r="N656" s="3"/>
      <c r="O656" s="3"/>
      <c r="P656" s="3"/>
      <c r="Q656" s="1"/>
      <c r="R656" s="1"/>
      <c r="S656" s="1"/>
    </row>
    <row r="657" spans="5:19" ht="15.75" customHeight="1">
      <c r="E657" s="1"/>
      <c r="F657" s="1"/>
      <c r="G657" s="1"/>
      <c r="H657" s="1"/>
      <c r="I657" s="1"/>
      <c r="J657" s="1"/>
      <c r="K657" s="2"/>
      <c r="L657" s="3"/>
      <c r="M657" s="3"/>
      <c r="N657" s="3"/>
      <c r="O657" s="3"/>
      <c r="P657" s="3"/>
      <c r="Q657" s="1"/>
      <c r="R657" s="1"/>
      <c r="S657" s="1"/>
    </row>
    <row r="658" spans="5:19" ht="15.75" customHeight="1">
      <c r="E658" s="1"/>
      <c r="F658" s="1"/>
      <c r="G658" s="1"/>
      <c r="H658" s="1"/>
      <c r="I658" s="1"/>
      <c r="J658" s="1"/>
      <c r="K658" s="2"/>
      <c r="L658" s="3"/>
      <c r="M658" s="3"/>
      <c r="N658" s="3"/>
      <c r="O658" s="3"/>
      <c r="P658" s="3"/>
      <c r="Q658" s="1"/>
      <c r="R658" s="1"/>
      <c r="S658" s="1"/>
    </row>
    <row r="659" spans="5:19" ht="15.75" customHeight="1">
      <c r="E659" s="1"/>
      <c r="F659" s="1"/>
      <c r="G659" s="1"/>
      <c r="H659" s="1"/>
      <c r="I659" s="1"/>
      <c r="J659" s="1"/>
      <c r="K659" s="2"/>
      <c r="L659" s="3"/>
      <c r="M659" s="3"/>
      <c r="N659" s="3"/>
      <c r="O659" s="3"/>
      <c r="P659" s="3"/>
      <c r="Q659" s="1"/>
      <c r="R659" s="1"/>
      <c r="S659" s="1"/>
    </row>
    <row r="660" spans="5:19" ht="15.75" customHeight="1">
      <c r="E660" s="1"/>
      <c r="F660" s="1"/>
      <c r="G660" s="1"/>
      <c r="H660" s="1"/>
      <c r="I660" s="1"/>
      <c r="J660" s="1"/>
      <c r="K660" s="2"/>
      <c r="L660" s="3"/>
      <c r="M660" s="3"/>
      <c r="N660" s="3"/>
      <c r="O660" s="3"/>
      <c r="P660" s="3"/>
      <c r="Q660" s="1"/>
      <c r="R660" s="1"/>
      <c r="S660" s="1"/>
    </row>
    <row r="661" spans="5:19" ht="15.75" customHeight="1">
      <c r="E661" s="1"/>
      <c r="F661" s="1"/>
      <c r="G661" s="1"/>
      <c r="H661" s="1"/>
      <c r="I661" s="1"/>
      <c r="J661" s="1"/>
      <c r="K661" s="2"/>
      <c r="L661" s="3"/>
      <c r="M661" s="3"/>
      <c r="N661" s="3"/>
      <c r="O661" s="3"/>
      <c r="P661" s="3"/>
      <c r="Q661" s="1"/>
      <c r="R661" s="1"/>
      <c r="S661" s="1"/>
    </row>
    <row r="662" spans="5:19" ht="15.75" customHeight="1">
      <c r="E662" s="1"/>
      <c r="F662" s="1"/>
      <c r="G662" s="1"/>
      <c r="H662" s="1"/>
      <c r="I662" s="1"/>
      <c r="J662" s="1"/>
      <c r="K662" s="2"/>
      <c r="L662" s="3"/>
      <c r="M662" s="3"/>
      <c r="N662" s="3"/>
      <c r="O662" s="3"/>
      <c r="P662" s="3"/>
      <c r="Q662" s="1"/>
      <c r="R662" s="1"/>
      <c r="S662" s="1"/>
    </row>
    <row r="663" spans="5:19" ht="15.75" customHeight="1">
      <c r="E663" s="1"/>
      <c r="F663" s="1"/>
      <c r="G663" s="1"/>
      <c r="H663" s="1"/>
      <c r="I663" s="1"/>
      <c r="J663" s="1"/>
      <c r="K663" s="2"/>
      <c r="L663" s="3"/>
      <c r="M663" s="3"/>
      <c r="N663" s="3"/>
      <c r="O663" s="3"/>
      <c r="P663" s="3"/>
      <c r="Q663" s="1"/>
      <c r="R663" s="1"/>
      <c r="S663" s="1"/>
    </row>
    <row r="664" spans="5:19" ht="15.75" customHeight="1">
      <c r="E664" s="1"/>
      <c r="F664" s="1"/>
      <c r="G664" s="1"/>
      <c r="H664" s="1"/>
      <c r="I664" s="1"/>
      <c r="J664" s="1"/>
      <c r="K664" s="2"/>
      <c r="L664" s="3"/>
      <c r="M664" s="3"/>
      <c r="N664" s="3"/>
      <c r="O664" s="3"/>
      <c r="P664" s="3"/>
      <c r="Q664" s="1"/>
      <c r="R664" s="1"/>
      <c r="S664" s="1"/>
    </row>
    <row r="665" spans="5:19" ht="15.75" customHeight="1">
      <c r="E665" s="1"/>
      <c r="F665" s="1"/>
      <c r="G665" s="1"/>
      <c r="H665" s="1"/>
      <c r="I665" s="1"/>
      <c r="J665" s="1"/>
      <c r="K665" s="2"/>
      <c r="L665" s="3"/>
      <c r="M665" s="3"/>
      <c r="N665" s="3"/>
      <c r="O665" s="3"/>
      <c r="P665" s="3"/>
      <c r="Q665" s="1"/>
      <c r="R665" s="1"/>
      <c r="S665" s="1"/>
    </row>
    <row r="666" spans="5:19" ht="15.75" customHeight="1">
      <c r="E666" s="1"/>
      <c r="F666" s="1"/>
      <c r="G666" s="1"/>
      <c r="H666" s="1"/>
      <c r="I666" s="1"/>
      <c r="J666" s="1"/>
      <c r="K666" s="2"/>
      <c r="L666" s="3"/>
      <c r="M666" s="3"/>
      <c r="N666" s="3"/>
      <c r="O666" s="3"/>
      <c r="P666" s="3"/>
      <c r="Q666" s="1"/>
      <c r="R666" s="1"/>
      <c r="S666" s="1"/>
    </row>
    <row r="667" spans="5:19" ht="15.75" customHeight="1">
      <c r="E667" s="1"/>
      <c r="F667" s="1"/>
      <c r="G667" s="1"/>
      <c r="H667" s="1"/>
      <c r="I667" s="1"/>
      <c r="J667" s="1"/>
      <c r="K667" s="2"/>
      <c r="L667" s="3"/>
      <c r="M667" s="3"/>
      <c r="N667" s="3"/>
      <c r="O667" s="3"/>
      <c r="P667" s="3"/>
      <c r="Q667" s="1"/>
      <c r="R667" s="1"/>
      <c r="S667" s="1"/>
    </row>
    <row r="668" spans="5:19" ht="15.75" customHeight="1">
      <c r="E668" s="1"/>
      <c r="F668" s="1"/>
      <c r="G668" s="1"/>
      <c r="H668" s="1"/>
      <c r="I668" s="1"/>
      <c r="J668" s="1"/>
      <c r="K668" s="2"/>
      <c r="L668" s="3"/>
      <c r="M668" s="3"/>
      <c r="N668" s="3"/>
      <c r="O668" s="3"/>
      <c r="P668" s="3"/>
      <c r="Q668" s="1"/>
      <c r="R668" s="1"/>
      <c r="S668" s="1"/>
    </row>
    <row r="669" spans="5:19" ht="15.75" customHeight="1">
      <c r="E669" s="1"/>
      <c r="F669" s="1"/>
      <c r="G669" s="1"/>
      <c r="H669" s="1"/>
      <c r="I669" s="1"/>
      <c r="J669" s="1"/>
      <c r="K669" s="2"/>
      <c r="L669" s="3"/>
      <c r="M669" s="3"/>
      <c r="N669" s="3"/>
      <c r="O669" s="3"/>
      <c r="P669" s="3"/>
      <c r="Q669" s="1"/>
      <c r="R669" s="1"/>
      <c r="S669" s="1"/>
    </row>
    <row r="670" spans="5:19" ht="15.75" customHeight="1">
      <c r="E670" s="1"/>
      <c r="F670" s="1"/>
      <c r="G670" s="1"/>
      <c r="H670" s="1"/>
      <c r="I670" s="1"/>
      <c r="J670" s="1"/>
      <c r="K670" s="2"/>
      <c r="L670" s="3"/>
      <c r="M670" s="3"/>
      <c r="N670" s="3"/>
      <c r="O670" s="3"/>
      <c r="P670" s="3"/>
      <c r="Q670" s="1"/>
      <c r="R670" s="1"/>
      <c r="S670" s="1"/>
    </row>
    <row r="671" spans="5:19" ht="15.75" customHeight="1">
      <c r="E671" s="1"/>
      <c r="F671" s="1"/>
      <c r="G671" s="1"/>
      <c r="H671" s="1"/>
      <c r="I671" s="1"/>
      <c r="J671" s="1"/>
      <c r="K671" s="2"/>
      <c r="L671" s="3"/>
      <c r="M671" s="3"/>
      <c r="N671" s="3"/>
      <c r="O671" s="3"/>
      <c r="P671" s="3"/>
      <c r="Q671" s="1"/>
      <c r="R671" s="1"/>
      <c r="S671" s="1"/>
    </row>
    <row r="672" spans="5:19" ht="15.75" customHeight="1">
      <c r="E672" s="1"/>
      <c r="F672" s="1"/>
      <c r="G672" s="1"/>
      <c r="H672" s="1"/>
      <c r="I672" s="1"/>
      <c r="J672" s="1"/>
      <c r="K672" s="2"/>
      <c r="L672" s="3"/>
      <c r="M672" s="3"/>
      <c r="N672" s="3"/>
      <c r="O672" s="3"/>
      <c r="P672" s="3"/>
      <c r="Q672" s="1"/>
      <c r="R672" s="1"/>
      <c r="S672" s="1"/>
    </row>
    <row r="673" spans="5:19" ht="15.75" customHeight="1">
      <c r="E673" s="1"/>
      <c r="F673" s="1"/>
      <c r="G673" s="1"/>
      <c r="H673" s="1"/>
      <c r="I673" s="1"/>
      <c r="J673" s="1"/>
      <c r="K673" s="2"/>
      <c r="L673" s="3"/>
      <c r="M673" s="3"/>
      <c r="N673" s="3"/>
      <c r="O673" s="3"/>
      <c r="P673" s="3"/>
      <c r="Q673" s="1"/>
      <c r="R673" s="1"/>
      <c r="S673" s="1"/>
    </row>
    <row r="674" spans="5:19" ht="15.75" customHeight="1">
      <c r="E674" s="1"/>
      <c r="F674" s="1"/>
      <c r="G674" s="1"/>
      <c r="H674" s="1"/>
      <c r="I674" s="1"/>
      <c r="J674" s="1"/>
      <c r="K674" s="2"/>
      <c r="L674" s="3"/>
      <c r="M674" s="3"/>
      <c r="N674" s="3"/>
      <c r="O674" s="3"/>
      <c r="P674" s="3"/>
      <c r="Q674" s="1"/>
      <c r="R674" s="1"/>
      <c r="S674" s="1"/>
    </row>
    <row r="675" spans="5:19" ht="15.75" customHeight="1">
      <c r="E675" s="1"/>
      <c r="F675" s="1"/>
      <c r="G675" s="1"/>
      <c r="H675" s="1"/>
      <c r="I675" s="1"/>
      <c r="J675" s="1"/>
      <c r="K675" s="2"/>
      <c r="L675" s="3"/>
      <c r="M675" s="3"/>
      <c r="N675" s="3"/>
      <c r="O675" s="3"/>
      <c r="P675" s="3"/>
      <c r="Q675" s="1"/>
      <c r="R675" s="1"/>
      <c r="S675" s="1"/>
    </row>
    <row r="676" spans="5:19" ht="15.75" customHeight="1">
      <c r="E676" s="1"/>
      <c r="F676" s="1"/>
      <c r="G676" s="1"/>
      <c r="H676" s="1"/>
      <c r="I676" s="1"/>
      <c r="J676" s="1"/>
      <c r="K676" s="2"/>
      <c r="L676" s="3"/>
      <c r="M676" s="3"/>
      <c r="N676" s="3"/>
      <c r="O676" s="3"/>
      <c r="P676" s="3"/>
      <c r="Q676" s="1"/>
      <c r="R676" s="1"/>
      <c r="S676" s="1"/>
    </row>
    <row r="677" spans="5:19" ht="15.75" customHeight="1">
      <c r="E677" s="1"/>
      <c r="F677" s="1"/>
      <c r="G677" s="1"/>
      <c r="H677" s="1"/>
      <c r="I677" s="1"/>
      <c r="J677" s="1"/>
      <c r="K677" s="2"/>
      <c r="L677" s="3"/>
      <c r="M677" s="3"/>
      <c r="N677" s="3"/>
      <c r="O677" s="3"/>
      <c r="P677" s="3"/>
      <c r="Q677" s="1"/>
      <c r="R677" s="1"/>
      <c r="S677" s="1"/>
    </row>
    <row r="678" spans="5:19" ht="15.75" customHeight="1">
      <c r="E678" s="1"/>
      <c r="F678" s="1"/>
      <c r="G678" s="1"/>
      <c r="H678" s="1"/>
      <c r="I678" s="1"/>
      <c r="J678" s="1"/>
      <c r="K678" s="2"/>
      <c r="L678" s="3"/>
      <c r="M678" s="3"/>
      <c r="N678" s="3"/>
      <c r="O678" s="3"/>
      <c r="P678" s="3"/>
      <c r="Q678" s="1"/>
      <c r="R678" s="1"/>
      <c r="S678" s="1"/>
    </row>
    <row r="679" spans="5:19" ht="15.75" customHeight="1">
      <c r="E679" s="1"/>
      <c r="F679" s="1"/>
      <c r="G679" s="1"/>
      <c r="H679" s="1"/>
      <c r="I679" s="1"/>
      <c r="J679" s="1"/>
      <c r="K679" s="2"/>
      <c r="L679" s="3"/>
      <c r="M679" s="3"/>
      <c r="N679" s="3"/>
      <c r="O679" s="3"/>
      <c r="P679" s="3"/>
      <c r="Q679" s="1"/>
      <c r="R679" s="1"/>
      <c r="S679" s="1"/>
    </row>
    <row r="680" spans="5:19" ht="15.75" customHeight="1">
      <c r="E680" s="1"/>
      <c r="F680" s="1"/>
      <c r="G680" s="1"/>
      <c r="H680" s="1"/>
      <c r="I680" s="1"/>
      <c r="J680" s="1"/>
      <c r="K680" s="2"/>
      <c r="L680" s="3"/>
      <c r="M680" s="3"/>
      <c r="N680" s="3"/>
      <c r="O680" s="3"/>
      <c r="P680" s="3"/>
      <c r="Q680" s="1"/>
      <c r="R680" s="1"/>
      <c r="S680" s="1"/>
    </row>
    <row r="681" spans="5:19" ht="15.75" customHeight="1">
      <c r="E681" s="1"/>
      <c r="F681" s="1"/>
      <c r="G681" s="1"/>
      <c r="H681" s="1"/>
      <c r="I681" s="1"/>
      <c r="J681" s="1"/>
      <c r="K681" s="2"/>
      <c r="L681" s="3"/>
      <c r="M681" s="3"/>
      <c r="N681" s="3"/>
      <c r="O681" s="3"/>
      <c r="P681" s="3"/>
      <c r="Q681" s="1"/>
      <c r="R681" s="1"/>
      <c r="S681" s="1"/>
    </row>
    <row r="682" spans="5:19" ht="15.75" customHeight="1">
      <c r="E682" s="1"/>
      <c r="F682" s="1"/>
      <c r="G682" s="1"/>
      <c r="H682" s="1"/>
      <c r="I682" s="1"/>
      <c r="J682" s="1"/>
      <c r="K682" s="2"/>
      <c r="L682" s="3"/>
      <c r="M682" s="3"/>
      <c r="N682" s="3"/>
      <c r="O682" s="3"/>
      <c r="P682" s="3"/>
      <c r="Q682" s="1"/>
      <c r="R682" s="1"/>
      <c r="S682" s="1"/>
    </row>
    <row r="683" spans="5:19" ht="15.75" customHeight="1">
      <c r="E683" s="1"/>
      <c r="F683" s="1"/>
      <c r="G683" s="1"/>
      <c r="H683" s="1"/>
      <c r="I683" s="1"/>
      <c r="J683" s="1"/>
      <c r="K683" s="2"/>
      <c r="L683" s="3"/>
      <c r="M683" s="3"/>
      <c r="N683" s="3"/>
      <c r="O683" s="3"/>
      <c r="P683" s="3"/>
      <c r="Q683" s="1"/>
      <c r="R683" s="1"/>
      <c r="S683" s="1"/>
    </row>
    <row r="684" spans="5:19" ht="15.75" customHeight="1">
      <c r="E684" s="1"/>
      <c r="F684" s="1"/>
      <c r="G684" s="1"/>
      <c r="H684" s="1"/>
      <c r="I684" s="1"/>
      <c r="J684" s="1"/>
      <c r="K684" s="2"/>
      <c r="L684" s="3"/>
      <c r="M684" s="3"/>
      <c r="N684" s="3"/>
      <c r="O684" s="3"/>
      <c r="P684" s="3"/>
      <c r="Q684" s="1"/>
      <c r="R684" s="1"/>
      <c r="S684" s="1"/>
    </row>
    <row r="685" spans="5:19" ht="15.75" customHeight="1">
      <c r="E685" s="1"/>
      <c r="F685" s="1"/>
      <c r="G685" s="1"/>
      <c r="H685" s="1"/>
      <c r="I685" s="1"/>
      <c r="J685" s="1"/>
      <c r="K685" s="2"/>
      <c r="L685" s="3"/>
      <c r="M685" s="3"/>
      <c r="N685" s="3"/>
      <c r="O685" s="3"/>
      <c r="P685" s="3"/>
      <c r="Q685" s="1"/>
      <c r="R685" s="1"/>
      <c r="S685" s="1"/>
    </row>
    <row r="686" spans="5:19" ht="15.75" customHeight="1">
      <c r="E686" s="1"/>
      <c r="F686" s="1"/>
      <c r="G686" s="1"/>
      <c r="H686" s="1"/>
      <c r="I686" s="1"/>
      <c r="J686" s="1"/>
      <c r="K686" s="2"/>
      <c r="L686" s="3"/>
      <c r="M686" s="3"/>
      <c r="N686" s="3"/>
      <c r="O686" s="3"/>
      <c r="P686" s="3"/>
      <c r="Q686" s="1"/>
      <c r="R686" s="1"/>
      <c r="S686" s="1"/>
    </row>
    <row r="687" spans="5:19" ht="15.75" customHeight="1">
      <c r="E687" s="1"/>
      <c r="F687" s="1"/>
      <c r="G687" s="1"/>
      <c r="H687" s="1"/>
      <c r="I687" s="1"/>
      <c r="J687" s="1"/>
      <c r="K687" s="2"/>
      <c r="L687" s="3"/>
      <c r="M687" s="3"/>
      <c r="N687" s="3"/>
      <c r="O687" s="3"/>
      <c r="P687" s="3"/>
      <c r="Q687" s="1"/>
      <c r="R687" s="1"/>
      <c r="S687" s="1"/>
    </row>
    <row r="688" spans="5:19" ht="15.75" customHeight="1">
      <c r="E688" s="1"/>
      <c r="F688" s="1"/>
      <c r="G688" s="1"/>
      <c r="H688" s="1"/>
      <c r="I688" s="1"/>
      <c r="J688" s="1"/>
      <c r="K688" s="2"/>
      <c r="L688" s="3"/>
      <c r="M688" s="3"/>
      <c r="N688" s="3"/>
      <c r="O688" s="3"/>
      <c r="P688" s="3"/>
      <c r="Q688" s="1"/>
      <c r="R688" s="1"/>
      <c r="S688" s="1"/>
    </row>
    <row r="689" spans="5:19" ht="15.75" customHeight="1">
      <c r="E689" s="1"/>
      <c r="F689" s="1"/>
      <c r="G689" s="1"/>
      <c r="H689" s="1"/>
      <c r="I689" s="1"/>
      <c r="J689" s="1"/>
      <c r="K689" s="2"/>
      <c r="L689" s="3"/>
      <c r="M689" s="3"/>
      <c r="N689" s="3"/>
      <c r="O689" s="3"/>
      <c r="P689" s="3"/>
      <c r="Q689" s="1"/>
      <c r="R689" s="1"/>
      <c r="S689" s="1"/>
    </row>
    <row r="690" spans="5:19" ht="15.75" customHeight="1">
      <c r="E690" s="1"/>
      <c r="F690" s="1"/>
      <c r="G690" s="1"/>
      <c r="H690" s="1"/>
      <c r="I690" s="1"/>
      <c r="J690" s="1"/>
      <c r="K690" s="2"/>
      <c r="L690" s="3"/>
      <c r="M690" s="3"/>
      <c r="N690" s="3"/>
      <c r="O690" s="3"/>
      <c r="P690" s="3"/>
      <c r="Q690" s="1"/>
      <c r="R690" s="1"/>
      <c r="S690" s="1"/>
    </row>
    <row r="691" spans="5:19" ht="15.75" customHeight="1">
      <c r="E691" s="1"/>
      <c r="F691" s="1"/>
      <c r="G691" s="1"/>
      <c r="H691" s="1"/>
      <c r="I691" s="1"/>
      <c r="J691" s="1"/>
      <c r="K691" s="2"/>
      <c r="L691" s="3"/>
      <c r="M691" s="3"/>
      <c r="N691" s="3"/>
      <c r="O691" s="3"/>
      <c r="P691" s="3"/>
      <c r="Q691" s="1"/>
      <c r="R691" s="1"/>
      <c r="S691" s="1"/>
    </row>
    <row r="692" spans="5:19" ht="15.75" customHeight="1">
      <c r="E692" s="1"/>
      <c r="F692" s="1"/>
      <c r="G692" s="1"/>
      <c r="H692" s="1"/>
      <c r="I692" s="1"/>
      <c r="J692" s="1"/>
      <c r="K692" s="2"/>
      <c r="L692" s="3"/>
      <c r="M692" s="3"/>
      <c r="N692" s="3"/>
      <c r="O692" s="3"/>
      <c r="P692" s="3"/>
      <c r="Q692" s="1"/>
      <c r="R692" s="1"/>
      <c r="S692" s="1"/>
    </row>
    <row r="693" spans="5:19" ht="15.75" customHeight="1">
      <c r="E693" s="1"/>
      <c r="F693" s="1"/>
      <c r="G693" s="1"/>
      <c r="H693" s="1"/>
      <c r="I693" s="1"/>
      <c r="J693" s="1"/>
      <c r="K693" s="2"/>
      <c r="L693" s="3"/>
      <c r="M693" s="3"/>
      <c r="N693" s="3"/>
      <c r="O693" s="3"/>
      <c r="P693" s="3"/>
      <c r="Q693" s="1"/>
      <c r="R693" s="1"/>
      <c r="S693" s="1"/>
    </row>
    <row r="694" spans="5:19" ht="15.75" customHeight="1">
      <c r="E694" s="1"/>
      <c r="F694" s="1"/>
      <c r="G694" s="1"/>
      <c r="H694" s="1"/>
      <c r="I694" s="1"/>
      <c r="J694" s="1"/>
      <c r="K694" s="2"/>
      <c r="L694" s="3"/>
      <c r="M694" s="3"/>
      <c r="N694" s="3"/>
      <c r="O694" s="3"/>
      <c r="P694" s="3"/>
      <c r="Q694" s="1"/>
      <c r="R694" s="1"/>
      <c r="S694" s="1"/>
    </row>
    <row r="695" spans="5:19" ht="15.75" customHeight="1">
      <c r="E695" s="1"/>
      <c r="F695" s="1"/>
      <c r="G695" s="1"/>
      <c r="H695" s="1"/>
      <c r="I695" s="1"/>
      <c r="J695" s="1"/>
      <c r="K695" s="2"/>
      <c r="L695" s="3"/>
      <c r="M695" s="3"/>
      <c r="N695" s="3"/>
      <c r="O695" s="3"/>
      <c r="P695" s="3"/>
      <c r="Q695" s="1"/>
      <c r="R695" s="1"/>
      <c r="S695" s="1"/>
    </row>
    <row r="696" spans="5:19" ht="15.75" customHeight="1">
      <c r="E696" s="1"/>
      <c r="F696" s="1"/>
      <c r="G696" s="1"/>
      <c r="H696" s="1"/>
      <c r="I696" s="1"/>
      <c r="J696" s="1"/>
      <c r="K696" s="2"/>
      <c r="L696" s="3"/>
      <c r="M696" s="3"/>
      <c r="N696" s="3"/>
      <c r="O696" s="3"/>
      <c r="P696" s="3"/>
      <c r="Q696" s="1"/>
      <c r="R696" s="1"/>
      <c r="S696" s="1"/>
    </row>
    <row r="697" spans="5:19" ht="15.75" customHeight="1">
      <c r="E697" s="1"/>
      <c r="F697" s="1"/>
      <c r="G697" s="1"/>
      <c r="H697" s="1"/>
      <c r="I697" s="1"/>
      <c r="J697" s="1"/>
      <c r="K697" s="2"/>
      <c r="L697" s="3"/>
      <c r="M697" s="3"/>
      <c r="N697" s="3"/>
      <c r="O697" s="3"/>
      <c r="P697" s="3"/>
      <c r="Q697" s="1"/>
      <c r="R697" s="1"/>
      <c r="S697" s="1"/>
    </row>
    <row r="698" spans="5:19" ht="15.75" customHeight="1">
      <c r="E698" s="1"/>
      <c r="F698" s="1"/>
      <c r="G698" s="1"/>
      <c r="H698" s="1"/>
      <c r="I698" s="1"/>
      <c r="J698" s="1"/>
      <c r="K698" s="2"/>
      <c r="L698" s="3"/>
      <c r="M698" s="3"/>
      <c r="N698" s="3"/>
      <c r="O698" s="3"/>
      <c r="P698" s="3"/>
      <c r="Q698" s="1"/>
      <c r="R698" s="1"/>
      <c r="S698" s="1"/>
    </row>
    <row r="699" spans="5:19" ht="15.75" customHeight="1">
      <c r="E699" s="1"/>
      <c r="F699" s="1"/>
      <c r="G699" s="1"/>
      <c r="H699" s="1"/>
      <c r="I699" s="1"/>
      <c r="J699" s="1"/>
      <c r="K699" s="2"/>
      <c r="L699" s="3"/>
      <c r="M699" s="3"/>
      <c r="N699" s="3"/>
      <c r="O699" s="3"/>
      <c r="P699" s="3"/>
      <c r="Q699" s="1"/>
      <c r="R699" s="1"/>
      <c r="S699" s="1"/>
    </row>
    <row r="700" spans="5:19" ht="15.75" customHeight="1">
      <c r="E700" s="1"/>
      <c r="F700" s="1"/>
      <c r="G700" s="1"/>
      <c r="H700" s="1"/>
      <c r="I700" s="1"/>
      <c r="J700" s="1"/>
      <c r="K700" s="2"/>
      <c r="L700" s="3"/>
      <c r="M700" s="3"/>
      <c r="N700" s="3"/>
      <c r="O700" s="3"/>
      <c r="P700" s="3"/>
      <c r="Q700" s="1"/>
      <c r="R700" s="1"/>
      <c r="S700" s="1"/>
    </row>
    <row r="701" spans="5:19" ht="15.75" customHeight="1">
      <c r="E701" s="1"/>
      <c r="F701" s="1"/>
      <c r="G701" s="1"/>
      <c r="H701" s="1"/>
      <c r="I701" s="1"/>
      <c r="J701" s="1"/>
      <c r="K701" s="2"/>
      <c r="L701" s="3"/>
      <c r="M701" s="3"/>
      <c r="N701" s="3"/>
      <c r="O701" s="3"/>
      <c r="P701" s="3"/>
      <c r="Q701" s="1"/>
      <c r="R701" s="1"/>
      <c r="S701" s="1"/>
    </row>
    <row r="702" spans="5:19" ht="15.75" customHeight="1">
      <c r="E702" s="1"/>
      <c r="F702" s="1"/>
      <c r="G702" s="1"/>
      <c r="H702" s="1"/>
      <c r="I702" s="1"/>
      <c r="J702" s="1"/>
      <c r="K702" s="2"/>
      <c r="L702" s="3"/>
      <c r="M702" s="3"/>
      <c r="N702" s="3"/>
      <c r="O702" s="3"/>
      <c r="P702" s="3"/>
      <c r="Q702" s="1"/>
      <c r="R702" s="1"/>
      <c r="S702" s="1"/>
    </row>
    <row r="703" spans="5:19" ht="15.75" customHeight="1">
      <c r="E703" s="1"/>
      <c r="F703" s="1"/>
      <c r="G703" s="1"/>
      <c r="H703" s="1"/>
      <c r="I703" s="1"/>
      <c r="J703" s="1"/>
      <c r="K703" s="2"/>
      <c r="L703" s="3"/>
      <c r="M703" s="3"/>
      <c r="N703" s="3"/>
      <c r="O703" s="3"/>
      <c r="P703" s="3"/>
      <c r="Q703" s="1"/>
      <c r="R703" s="1"/>
      <c r="S703" s="1"/>
    </row>
    <row r="704" spans="5:19" ht="15.75" customHeight="1">
      <c r="E704" s="1"/>
      <c r="F704" s="1"/>
      <c r="G704" s="1"/>
      <c r="H704" s="1"/>
      <c r="I704" s="1"/>
      <c r="J704" s="1"/>
      <c r="K704" s="2"/>
      <c r="L704" s="3"/>
      <c r="M704" s="3"/>
      <c r="N704" s="3"/>
      <c r="O704" s="3"/>
      <c r="P704" s="3"/>
      <c r="Q704" s="1"/>
      <c r="R704" s="1"/>
      <c r="S704" s="1"/>
    </row>
    <row r="705" spans="5:19" ht="15.75" customHeight="1">
      <c r="E705" s="1"/>
      <c r="F705" s="1"/>
      <c r="G705" s="1"/>
      <c r="H705" s="1"/>
      <c r="I705" s="1"/>
      <c r="J705" s="1"/>
      <c r="K705" s="2"/>
      <c r="L705" s="3"/>
      <c r="M705" s="3"/>
      <c r="N705" s="3"/>
      <c r="O705" s="3"/>
      <c r="P705" s="3"/>
      <c r="Q705" s="1"/>
      <c r="R705" s="1"/>
      <c r="S705" s="1"/>
    </row>
    <row r="706" spans="5:19" ht="15.75" customHeight="1">
      <c r="E706" s="1"/>
      <c r="F706" s="1"/>
      <c r="G706" s="1"/>
      <c r="H706" s="1"/>
      <c r="I706" s="1"/>
      <c r="J706" s="1"/>
      <c r="K706" s="2"/>
      <c r="L706" s="3"/>
      <c r="M706" s="3"/>
      <c r="N706" s="3"/>
      <c r="O706" s="3"/>
      <c r="P706" s="3"/>
      <c r="Q706" s="1"/>
      <c r="R706" s="1"/>
      <c r="S706" s="1"/>
    </row>
    <row r="707" spans="5:19" ht="15.75" customHeight="1">
      <c r="E707" s="1"/>
      <c r="F707" s="1"/>
      <c r="G707" s="1"/>
      <c r="H707" s="1"/>
      <c r="I707" s="1"/>
      <c r="J707" s="1"/>
      <c r="K707" s="2"/>
      <c r="L707" s="3"/>
      <c r="M707" s="3"/>
      <c r="N707" s="3"/>
      <c r="O707" s="3"/>
      <c r="P707" s="3"/>
      <c r="Q707" s="1"/>
      <c r="R707" s="1"/>
      <c r="S707" s="1"/>
    </row>
    <row r="708" spans="5:19" ht="15.75" customHeight="1">
      <c r="E708" s="1"/>
      <c r="F708" s="1"/>
      <c r="G708" s="1"/>
      <c r="H708" s="1"/>
      <c r="I708" s="1"/>
      <c r="J708" s="1"/>
      <c r="K708" s="2"/>
      <c r="L708" s="3"/>
      <c r="M708" s="3"/>
      <c r="N708" s="3"/>
      <c r="O708" s="3"/>
      <c r="P708" s="3"/>
      <c r="Q708" s="1"/>
      <c r="R708" s="1"/>
      <c r="S708" s="1"/>
    </row>
    <row r="709" spans="5:19" ht="15.75" customHeight="1">
      <c r="E709" s="1"/>
      <c r="F709" s="1"/>
      <c r="G709" s="1"/>
      <c r="H709" s="1"/>
      <c r="I709" s="1"/>
      <c r="J709" s="1"/>
      <c r="K709" s="2"/>
      <c r="L709" s="3"/>
      <c r="M709" s="3"/>
      <c r="N709" s="3"/>
      <c r="O709" s="3"/>
      <c r="P709" s="3"/>
      <c r="Q709" s="1"/>
      <c r="R709" s="1"/>
      <c r="S709" s="1"/>
    </row>
    <row r="710" spans="5:19" ht="15.75" customHeight="1">
      <c r="E710" s="1"/>
      <c r="F710" s="1"/>
      <c r="G710" s="1"/>
      <c r="H710" s="1"/>
      <c r="I710" s="1"/>
      <c r="J710" s="1"/>
      <c r="K710" s="2"/>
      <c r="L710" s="3"/>
      <c r="M710" s="3"/>
      <c r="N710" s="3"/>
      <c r="O710" s="3"/>
      <c r="P710" s="3"/>
      <c r="Q710" s="1"/>
      <c r="R710" s="1"/>
      <c r="S710" s="1"/>
    </row>
    <row r="711" spans="5:19" ht="15.75" customHeight="1">
      <c r="E711" s="1"/>
      <c r="F711" s="1"/>
      <c r="G711" s="1"/>
      <c r="H711" s="1"/>
      <c r="I711" s="1"/>
      <c r="J711" s="1"/>
      <c r="K711" s="2"/>
      <c r="L711" s="3"/>
      <c r="M711" s="3"/>
      <c r="N711" s="3"/>
      <c r="O711" s="3"/>
      <c r="P711" s="3"/>
      <c r="Q711" s="1"/>
      <c r="R711" s="1"/>
      <c r="S711" s="1"/>
    </row>
    <row r="712" spans="5:19" ht="15.75" customHeight="1">
      <c r="E712" s="1"/>
      <c r="F712" s="1"/>
      <c r="G712" s="1"/>
      <c r="H712" s="1"/>
      <c r="I712" s="1"/>
      <c r="J712" s="1"/>
      <c r="K712" s="2"/>
      <c r="L712" s="3"/>
      <c r="M712" s="3"/>
      <c r="N712" s="3"/>
      <c r="O712" s="3"/>
      <c r="P712" s="3"/>
      <c r="Q712" s="1"/>
      <c r="R712" s="1"/>
      <c r="S712" s="1"/>
    </row>
    <row r="713" spans="5:19" ht="15.75" customHeight="1">
      <c r="E713" s="1"/>
      <c r="F713" s="1"/>
      <c r="G713" s="1"/>
      <c r="H713" s="1"/>
      <c r="I713" s="1"/>
      <c r="J713" s="1"/>
      <c r="K713" s="2"/>
      <c r="L713" s="3"/>
      <c r="M713" s="3"/>
      <c r="N713" s="3"/>
      <c r="O713" s="3"/>
      <c r="P713" s="3"/>
      <c r="Q713" s="1"/>
      <c r="R713" s="1"/>
      <c r="S713" s="1"/>
    </row>
    <row r="714" spans="5:19" ht="15.75" customHeight="1">
      <c r="E714" s="1"/>
      <c r="F714" s="1"/>
      <c r="G714" s="1"/>
      <c r="H714" s="1"/>
      <c r="I714" s="1"/>
      <c r="J714" s="1"/>
      <c r="K714" s="2"/>
      <c r="L714" s="3"/>
      <c r="M714" s="3"/>
      <c r="N714" s="3"/>
      <c r="O714" s="3"/>
      <c r="P714" s="3"/>
      <c r="Q714" s="1"/>
      <c r="R714" s="1"/>
      <c r="S714" s="1"/>
    </row>
    <row r="715" spans="5:19" ht="15.75" customHeight="1">
      <c r="E715" s="1"/>
      <c r="F715" s="1"/>
      <c r="G715" s="1"/>
      <c r="H715" s="1"/>
      <c r="I715" s="1"/>
      <c r="J715" s="1"/>
      <c r="K715" s="2"/>
      <c r="L715" s="3"/>
      <c r="M715" s="3"/>
      <c r="N715" s="3"/>
      <c r="O715" s="3"/>
      <c r="P715" s="3"/>
      <c r="Q715" s="1"/>
      <c r="R715" s="1"/>
      <c r="S715" s="1"/>
    </row>
    <row r="716" spans="5:19" ht="15.75" customHeight="1">
      <c r="E716" s="1"/>
      <c r="F716" s="1"/>
      <c r="G716" s="1"/>
      <c r="H716" s="1"/>
      <c r="I716" s="1"/>
      <c r="J716" s="1"/>
      <c r="K716" s="2"/>
      <c r="L716" s="3"/>
      <c r="M716" s="3"/>
      <c r="N716" s="3"/>
      <c r="O716" s="3"/>
      <c r="P716" s="3"/>
      <c r="Q716" s="1"/>
      <c r="R716" s="1"/>
      <c r="S716" s="1"/>
    </row>
    <row r="717" spans="5:19" ht="15.75" customHeight="1">
      <c r="E717" s="1"/>
      <c r="F717" s="1"/>
      <c r="G717" s="1"/>
      <c r="H717" s="1"/>
      <c r="I717" s="1"/>
      <c r="J717" s="1"/>
      <c r="K717" s="2"/>
      <c r="L717" s="3"/>
      <c r="M717" s="3"/>
      <c r="N717" s="3"/>
      <c r="O717" s="3"/>
      <c r="P717" s="3"/>
      <c r="Q717" s="1"/>
      <c r="R717" s="1"/>
      <c r="S717" s="1"/>
    </row>
    <row r="718" spans="5:19" ht="15.75" customHeight="1">
      <c r="E718" s="1"/>
      <c r="F718" s="1"/>
      <c r="G718" s="1"/>
      <c r="H718" s="1"/>
      <c r="I718" s="1"/>
      <c r="J718" s="1"/>
      <c r="K718" s="2"/>
      <c r="L718" s="3"/>
      <c r="M718" s="3"/>
      <c r="N718" s="3"/>
      <c r="O718" s="3"/>
      <c r="P718" s="3"/>
      <c r="Q718" s="1"/>
      <c r="R718" s="1"/>
      <c r="S718" s="1"/>
    </row>
    <row r="719" spans="5:19" ht="15.75" customHeight="1">
      <c r="E719" s="1"/>
      <c r="F719" s="1"/>
      <c r="G719" s="1"/>
      <c r="H719" s="1"/>
      <c r="I719" s="1"/>
      <c r="J719" s="1"/>
      <c r="K719" s="2"/>
      <c r="L719" s="3"/>
      <c r="M719" s="3"/>
      <c r="N719" s="3"/>
      <c r="O719" s="3"/>
      <c r="P719" s="3"/>
      <c r="Q719" s="1"/>
      <c r="R719" s="1"/>
      <c r="S719" s="1"/>
    </row>
    <row r="720" spans="5:19" ht="15.75" customHeight="1">
      <c r="E720" s="1"/>
      <c r="F720" s="1"/>
      <c r="G720" s="1"/>
      <c r="H720" s="1"/>
      <c r="I720" s="1"/>
      <c r="J720" s="1"/>
      <c r="K720" s="2"/>
      <c r="L720" s="3"/>
      <c r="M720" s="3"/>
      <c r="N720" s="3"/>
      <c r="O720" s="3"/>
      <c r="P720" s="3"/>
      <c r="Q720" s="1"/>
      <c r="R720" s="1"/>
      <c r="S720" s="1"/>
    </row>
    <row r="721" spans="5:19" ht="15.75" customHeight="1">
      <c r="E721" s="1"/>
      <c r="F721" s="1"/>
      <c r="G721" s="1"/>
      <c r="H721" s="1"/>
      <c r="I721" s="1"/>
      <c r="J721" s="1"/>
      <c r="K721" s="2"/>
      <c r="L721" s="3"/>
      <c r="M721" s="3"/>
      <c r="N721" s="3"/>
      <c r="O721" s="3"/>
      <c r="P721" s="3"/>
      <c r="Q721" s="1"/>
      <c r="R721" s="1"/>
      <c r="S721" s="1"/>
    </row>
    <row r="722" spans="5:19" ht="15.75" customHeight="1">
      <c r="E722" s="1"/>
      <c r="F722" s="1"/>
      <c r="G722" s="1"/>
      <c r="H722" s="1"/>
      <c r="I722" s="1"/>
      <c r="J722" s="1"/>
      <c r="K722" s="2"/>
      <c r="L722" s="3"/>
      <c r="M722" s="3"/>
      <c r="N722" s="3"/>
      <c r="O722" s="3"/>
      <c r="P722" s="3"/>
      <c r="Q722" s="1"/>
      <c r="R722" s="1"/>
      <c r="S722" s="1"/>
    </row>
    <row r="723" spans="5:19" ht="15.75" customHeight="1">
      <c r="E723" s="1"/>
      <c r="F723" s="1"/>
      <c r="G723" s="1"/>
      <c r="H723" s="1"/>
      <c r="I723" s="1"/>
      <c r="J723" s="1"/>
      <c r="K723" s="2"/>
      <c r="L723" s="3"/>
      <c r="M723" s="3"/>
      <c r="N723" s="3"/>
      <c r="O723" s="3"/>
      <c r="P723" s="3"/>
      <c r="Q723" s="1"/>
      <c r="R723" s="1"/>
      <c r="S723" s="1"/>
    </row>
    <row r="724" spans="5:19" ht="15.75" customHeight="1">
      <c r="E724" s="1"/>
      <c r="F724" s="1"/>
      <c r="G724" s="1"/>
      <c r="H724" s="1"/>
      <c r="I724" s="1"/>
      <c r="J724" s="1"/>
      <c r="K724" s="2"/>
      <c r="L724" s="3"/>
      <c r="M724" s="3"/>
      <c r="N724" s="3"/>
      <c r="O724" s="3"/>
      <c r="P724" s="3"/>
      <c r="Q724" s="1"/>
      <c r="R724" s="1"/>
      <c r="S724" s="1"/>
    </row>
    <row r="725" spans="5:19" ht="15.75" customHeight="1">
      <c r="E725" s="1"/>
      <c r="F725" s="1"/>
      <c r="G725" s="1"/>
      <c r="H725" s="1"/>
      <c r="I725" s="1"/>
      <c r="J725" s="1"/>
      <c r="K725" s="2"/>
      <c r="L725" s="3"/>
      <c r="M725" s="3"/>
      <c r="N725" s="3"/>
      <c r="O725" s="3"/>
      <c r="P725" s="3"/>
      <c r="Q725" s="1"/>
      <c r="R725" s="1"/>
      <c r="S725" s="1"/>
    </row>
    <row r="726" spans="5:19" ht="15.75" customHeight="1">
      <c r="E726" s="1"/>
      <c r="F726" s="1"/>
      <c r="G726" s="1"/>
      <c r="H726" s="1"/>
      <c r="I726" s="1"/>
      <c r="J726" s="1"/>
      <c r="K726" s="2"/>
      <c r="L726" s="3"/>
      <c r="M726" s="3"/>
      <c r="N726" s="3"/>
      <c r="O726" s="3"/>
      <c r="P726" s="3"/>
      <c r="Q726" s="1"/>
      <c r="R726" s="1"/>
      <c r="S726" s="1"/>
    </row>
    <row r="727" spans="5:19" ht="15.75" customHeight="1">
      <c r="E727" s="1"/>
      <c r="F727" s="1"/>
      <c r="G727" s="1"/>
      <c r="H727" s="1"/>
      <c r="I727" s="1"/>
      <c r="J727" s="1"/>
      <c r="K727" s="2"/>
      <c r="L727" s="3"/>
      <c r="M727" s="3"/>
      <c r="N727" s="3"/>
      <c r="O727" s="3"/>
      <c r="P727" s="3"/>
      <c r="Q727" s="1"/>
      <c r="R727" s="1"/>
      <c r="S727" s="1"/>
    </row>
    <row r="728" spans="5:19" ht="15.75" customHeight="1">
      <c r="E728" s="1"/>
      <c r="F728" s="1"/>
      <c r="G728" s="1"/>
      <c r="H728" s="1"/>
      <c r="I728" s="1"/>
      <c r="J728" s="1"/>
      <c r="K728" s="2"/>
      <c r="L728" s="3"/>
      <c r="M728" s="3"/>
      <c r="N728" s="3"/>
      <c r="O728" s="3"/>
      <c r="P728" s="3"/>
      <c r="Q728" s="1"/>
      <c r="R728" s="1"/>
      <c r="S728" s="1"/>
    </row>
    <row r="729" spans="5:19" ht="15.75" customHeight="1">
      <c r="E729" s="1"/>
      <c r="F729" s="1"/>
      <c r="G729" s="1"/>
      <c r="H729" s="1"/>
      <c r="I729" s="1"/>
      <c r="J729" s="1"/>
      <c r="K729" s="2"/>
      <c r="L729" s="3"/>
      <c r="M729" s="3"/>
      <c r="N729" s="3"/>
      <c r="O729" s="3"/>
      <c r="P729" s="3"/>
      <c r="Q729" s="1"/>
      <c r="R729" s="1"/>
      <c r="S729" s="1"/>
    </row>
    <row r="730" spans="5:19" ht="15.75" customHeight="1">
      <c r="E730" s="1"/>
      <c r="F730" s="1"/>
      <c r="G730" s="1"/>
      <c r="H730" s="1"/>
      <c r="I730" s="1"/>
      <c r="J730" s="1"/>
      <c r="K730" s="2"/>
      <c r="L730" s="3"/>
      <c r="M730" s="3"/>
      <c r="N730" s="3"/>
      <c r="O730" s="3"/>
      <c r="P730" s="3"/>
      <c r="Q730" s="1"/>
      <c r="R730" s="1"/>
      <c r="S730" s="1"/>
    </row>
    <row r="731" spans="5:19" ht="15.75" customHeight="1">
      <c r="E731" s="1"/>
      <c r="F731" s="1"/>
      <c r="G731" s="1"/>
      <c r="H731" s="1"/>
      <c r="I731" s="1"/>
      <c r="J731" s="1"/>
      <c r="K731" s="2"/>
      <c r="L731" s="3"/>
      <c r="M731" s="3"/>
      <c r="N731" s="3"/>
      <c r="O731" s="3"/>
      <c r="P731" s="3"/>
      <c r="Q731" s="1"/>
      <c r="R731" s="1"/>
      <c r="S731" s="1"/>
    </row>
    <row r="732" spans="5:19" ht="15.75" customHeight="1">
      <c r="E732" s="1"/>
      <c r="F732" s="1"/>
      <c r="G732" s="1"/>
      <c r="H732" s="1"/>
      <c r="I732" s="1"/>
      <c r="J732" s="1"/>
      <c r="K732" s="2"/>
      <c r="L732" s="3"/>
      <c r="M732" s="3"/>
      <c r="N732" s="3"/>
      <c r="O732" s="3"/>
      <c r="P732" s="3"/>
      <c r="Q732" s="1"/>
      <c r="R732" s="1"/>
      <c r="S732" s="1"/>
    </row>
    <row r="733" spans="5:19" ht="15.75" customHeight="1">
      <c r="E733" s="1"/>
      <c r="F733" s="1"/>
      <c r="G733" s="1"/>
      <c r="H733" s="1"/>
      <c r="I733" s="1"/>
      <c r="J733" s="1"/>
      <c r="K733" s="2"/>
      <c r="L733" s="3"/>
      <c r="M733" s="3"/>
      <c r="N733" s="3"/>
      <c r="O733" s="3"/>
      <c r="P733" s="3"/>
      <c r="Q733" s="1"/>
      <c r="R733" s="1"/>
      <c r="S733" s="1"/>
    </row>
    <row r="734" spans="5:19" ht="15.75" customHeight="1">
      <c r="E734" s="1"/>
      <c r="F734" s="1"/>
      <c r="G734" s="1"/>
      <c r="H734" s="1"/>
      <c r="I734" s="1"/>
      <c r="J734" s="1"/>
      <c r="K734" s="2"/>
      <c r="L734" s="3"/>
      <c r="M734" s="3"/>
      <c r="N734" s="3"/>
      <c r="O734" s="3"/>
      <c r="P734" s="3"/>
      <c r="Q734" s="1"/>
      <c r="R734" s="1"/>
      <c r="S734" s="1"/>
    </row>
    <row r="735" spans="5:19" ht="15.75" customHeight="1">
      <c r="E735" s="1"/>
      <c r="F735" s="1"/>
      <c r="G735" s="1"/>
      <c r="H735" s="1"/>
      <c r="I735" s="1"/>
      <c r="J735" s="1"/>
      <c r="K735" s="2"/>
      <c r="L735" s="3"/>
      <c r="M735" s="3"/>
      <c r="N735" s="3"/>
      <c r="O735" s="3"/>
      <c r="P735" s="3"/>
      <c r="Q735" s="1"/>
      <c r="R735" s="1"/>
      <c r="S735" s="1"/>
    </row>
    <row r="736" spans="5:19" ht="15.75" customHeight="1">
      <c r="E736" s="1"/>
      <c r="F736" s="1"/>
      <c r="G736" s="1"/>
      <c r="H736" s="1"/>
      <c r="I736" s="1"/>
      <c r="J736" s="1"/>
      <c r="K736" s="2"/>
      <c r="L736" s="3"/>
      <c r="M736" s="3"/>
      <c r="N736" s="3"/>
      <c r="O736" s="3"/>
      <c r="P736" s="3"/>
      <c r="Q736" s="1"/>
      <c r="R736" s="1"/>
      <c r="S736" s="1"/>
    </row>
    <row r="737" spans="5:19" ht="15.75" customHeight="1">
      <c r="E737" s="1"/>
      <c r="F737" s="1"/>
      <c r="G737" s="1"/>
      <c r="H737" s="1"/>
      <c r="I737" s="1"/>
      <c r="J737" s="1"/>
      <c r="K737" s="2"/>
      <c r="L737" s="3"/>
      <c r="M737" s="3"/>
      <c r="N737" s="3"/>
      <c r="O737" s="3"/>
      <c r="P737" s="3"/>
      <c r="Q737" s="1"/>
      <c r="R737" s="1"/>
      <c r="S737" s="1"/>
    </row>
    <row r="738" spans="5:19" ht="15.75" customHeight="1">
      <c r="E738" s="1"/>
      <c r="F738" s="1"/>
      <c r="G738" s="1"/>
      <c r="H738" s="1"/>
      <c r="I738" s="1"/>
      <c r="J738" s="1"/>
      <c r="K738" s="2"/>
      <c r="L738" s="3"/>
      <c r="M738" s="3"/>
      <c r="N738" s="3"/>
      <c r="O738" s="3"/>
      <c r="P738" s="3"/>
      <c r="Q738" s="1"/>
      <c r="R738" s="1"/>
      <c r="S738" s="1"/>
    </row>
    <row r="739" spans="5:19" ht="15.75" customHeight="1">
      <c r="E739" s="1"/>
      <c r="F739" s="1"/>
      <c r="G739" s="1"/>
      <c r="H739" s="1"/>
      <c r="I739" s="1"/>
      <c r="J739" s="1"/>
      <c r="K739" s="2"/>
      <c r="L739" s="3"/>
      <c r="M739" s="3"/>
      <c r="N739" s="3"/>
      <c r="O739" s="3"/>
      <c r="P739" s="3"/>
      <c r="Q739" s="1"/>
      <c r="R739" s="1"/>
      <c r="S739" s="1"/>
    </row>
    <row r="740" spans="5:19" ht="15.75" customHeight="1">
      <c r="E740" s="1"/>
      <c r="F740" s="1"/>
      <c r="G740" s="1"/>
      <c r="H740" s="1"/>
      <c r="I740" s="1"/>
      <c r="J740" s="1"/>
      <c r="K740" s="2"/>
      <c r="L740" s="3"/>
      <c r="M740" s="3"/>
      <c r="N740" s="3"/>
      <c r="O740" s="3"/>
      <c r="P740" s="3"/>
      <c r="Q740" s="1"/>
      <c r="R740" s="1"/>
      <c r="S740" s="1"/>
    </row>
    <row r="741" spans="5:19" ht="15.75" customHeight="1">
      <c r="E741" s="1"/>
      <c r="F741" s="1"/>
      <c r="G741" s="1"/>
      <c r="H741" s="1"/>
      <c r="I741" s="1"/>
      <c r="J741" s="1"/>
      <c r="K741" s="2"/>
      <c r="L741" s="3"/>
      <c r="M741" s="3"/>
      <c r="N741" s="3"/>
      <c r="O741" s="3"/>
      <c r="P741" s="3"/>
      <c r="Q741" s="1"/>
      <c r="R741" s="1"/>
      <c r="S741" s="1"/>
    </row>
    <row r="742" spans="5:19" ht="15.75" customHeight="1">
      <c r="E742" s="1"/>
      <c r="F742" s="1"/>
      <c r="G742" s="1"/>
      <c r="H742" s="1"/>
      <c r="I742" s="1"/>
      <c r="J742" s="1"/>
      <c r="K742" s="2"/>
      <c r="L742" s="3"/>
      <c r="M742" s="3"/>
      <c r="N742" s="3"/>
      <c r="O742" s="3"/>
      <c r="P742" s="3"/>
      <c r="Q742" s="1"/>
      <c r="R742" s="1"/>
      <c r="S742" s="1"/>
    </row>
    <row r="743" spans="5:19" ht="15.75" customHeight="1">
      <c r="E743" s="1"/>
      <c r="F743" s="1"/>
      <c r="G743" s="1"/>
      <c r="H743" s="1"/>
      <c r="I743" s="1"/>
      <c r="J743" s="1"/>
      <c r="K743" s="2"/>
      <c r="L743" s="3"/>
      <c r="M743" s="3"/>
      <c r="N743" s="3"/>
      <c r="O743" s="3"/>
      <c r="P743" s="3"/>
      <c r="Q743" s="1"/>
      <c r="R743" s="1"/>
      <c r="S743" s="1"/>
    </row>
    <row r="744" spans="5:19" ht="15.75" customHeight="1">
      <c r="E744" s="1"/>
      <c r="F744" s="1"/>
      <c r="G744" s="1"/>
      <c r="H744" s="1"/>
      <c r="I744" s="1"/>
      <c r="J744" s="1"/>
      <c r="K744" s="2"/>
      <c r="L744" s="3"/>
      <c r="M744" s="3"/>
      <c r="N744" s="3"/>
      <c r="O744" s="3"/>
      <c r="P744" s="3"/>
      <c r="Q744" s="1"/>
      <c r="R744" s="1"/>
      <c r="S744" s="1"/>
    </row>
    <row r="745" spans="5:19" ht="15.75" customHeight="1">
      <c r="E745" s="1"/>
      <c r="F745" s="1"/>
      <c r="G745" s="1"/>
      <c r="H745" s="1"/>
      <c r="I745" s="1"/>
      <c r="J745" s="1"/>
      <c r="K745" s="2"/>
      <c r="L745" s="3"/>
      <c r="M745" s="3"/>
      <c r="N745" s="3"/>
      <c r="O745" s="3"/>
      <c r="P745" s="3"/>
      <c r="Q745" s="1"/>
      <c r="R745" s="1"/>
      <c r="S745" s="1"/>
    </row>
    <row r="746" spans="5:19" ht="15.75" customHeight="1">
      <c r="E746" s="1"/>
      <c r="F746" s="1"/>
      <c r="G746" s="1"/>
      <c r="H746" s="1"/>
      <c r="I746" s="1"/>
      <c r="J746" s="1"/>
      <c r="K746" s="2"/>
      <c r="L746" s="3"/>
      <c r="M746" s="3"/>
      <c r="N746" s="3"/>
      <c r="O746" s="3"/>
      <c r="P746" s="3"/>
      <c r="Q746" s="1"/>
      <c r="R746" s="1"/>
      <c r="S746" s="1"/>
    </row>
    <row r="747" spans="5:19" ht="15.75" customHeight="1">
      <c r="E747" s="1"/>
      <c r="F747" s="1"/>
      <c r="G747" s="1"/>
      <c r="H747" s="1"/>
      <c r="I747" s="1"/>
      <c r="J747" s="1"/>
      <c r="K747" s="2"/>
      <c r="L747" s="3"/>
      <c r="M747" s="3"/>
      <c r="N747" s="3"/>
      <c r="O747" s="3"/>
      <c r="P747" s="3"/>
      <c r="Q747" s="1"/>
      <c r="R747" s="1"/>
      <c r="S747" s="1"/>
    </row>
    <row r="748" spans="5:19" ht="15.75" customHeight="1">
      <c r="E748" s="1"/>
      <c r="F748" s="1"/>
      <c r="G748" s="1"/>
      <c r="H748" s="1"/>
      <c r="I748" s="1"/>
      <c r="J748" s="1"/>
      <c r="K748" s="2"/>
      <c r="L748" s="3"/>
      <c r="M748" s="3"/>
      <c r="N748" s="3"/>
      <c r="O748" s="3"/>
      <c r="P748" s="3"/>
      <c r="Q748" s="1"/>
      <c r="R748" s="1"/>
      <c r="S748" s="1"/>
    </row>
    <row r="749" spans="5:19" ht="15.75" customHeight="1">
      <c r="E749" s="1"/>
      <c r="F749" s="1"/>
      <c r="G749" s="1"/>
      <c r="H749" s="1"/>
      <c r="I749" s="1"/>
      <c r="J749" s="1"/>
      <c r="K749" s="2"/>
      <c r="L749" s="3"/>
      <c r="M749" s="3"/>
      <c r="N749" s="3"/>
      <c r="O749" s="3"/>
      <c r="P749" s="3"/>
      <c r="Q749" s="1"/>
      <c r="R749" s="1"/>
      <c r="S749" s="1"/>
    </row>
    <row r="750" spans="5:19" ht="15.75" customHeight="1">
      <c r="E750" s="1"/>
      <c r="F750" s="1"/>
      <c r="G750" s="1"/>
      <c r="H750" s="1"/>
      <c r="I750" s="1"/>
      <c r="J750" s="1"/>
      <c r="K750" s="2"/>
      <c r="L750" s="3"/>
      <c r="M750" s="3"/>
      <c r="N750" s="3"/>
      <c r="O750" s="3"/>
      <c r="P750" s="3"/>
      <c r="Q750" s="1"/>
      <c r="R750" s="1"/>
      <c r="S750" s="1"/>
    </row>
    <row r="751" spans="5:19" ht="15.75" customHeight="1">
      <c r="E751" s="1"/>
      <c r="F751" s="1"/>
      <c r="G751" s="1"/>
      <c r="H751" s="1"/>
      <c r="I751" s="1"/>
      <c r="J751" s="1"/>
      <c r="K751" s="2"/>
      <c r="L751" s="3"/>
      <c r="M751" s="3"/>
      <c r="N751" s="3"/>
      <c r="O751" s="3"/>
      <c r="P751" s="3"/>
      <c r="Q751" s="1"/>
      <c r="R751" s="1"/>
      <c r="S751" s="1"/>
    </row>
    <row r="752" spans="5:19" ht="15.75" customHeight="1">
      <c r="E752" s="1"/>
      <c r="F752" s="1"/>
      <c r="G752" s="1"/>
      <c r="H752" s="1"/>
      <c r="I752" s="1"/>
      <c r="J752" s="1"/>
      <c r="K752" s="2"/>
      <c r="L752" s="3"/>
      <c r="M752" s="3"/>
      <c r="N752" s="3"/>
      <c r="O752" s="3"/>
      <c r="P752" s="3"/>
      <c r="Q752" s="1"/>
      <c r="R752" s="1"/>
      <c r="S752" s="1"/>
    </row>
    <row r="753" spans="5:19" ht="15.75" customHeight="1">
      <c r="E753" s="1"/>
      <c r="F753" s="1"/>
      <c r="G753" s="1"/>
      <c r="H753" s="1"/>
      <c r="I753" s="1"/>
      <c r="J753" s="1"/>
      <c r="K753" s="2"/>
      <c r="L753" s="3"/>
      <c r="M753" s="3"/>
      <c r="N753" s="3"/>
      <c r="O753" s="3"/>
      <c r="P753" s="3"/>
      <c r="Q753" s="1"/>
      <c r="R753" s="1"/>
      <c r="S753" s="1"/>
    </row>
    <row r="754" spans="5:19" ht="15.75" customHeight="1">
      <c r="E754" s="1"/>
      <c r="F754" s="1"/>
      <c r="G754" s="1"/>
      <c r="H754" s="1"/>
      <c r="I754" s="1"/>
      <c r="J754" s="1"/>
      <c r="K754" s="2"/>
      <c r="L754" s="3"/>
      <c r="M754" s="3"/>
      <c r="N754" s="3"/>
      <c r="O754" s="3"/>
      <c r="P754" s="3"/>
      <c r="Q754" s="1"/>
      <c r="R754" s="1"/>
      <c r="S754" s="1"/>
    </row>
    <row r="755" spans="5:19" ht="15.75" customHeight="1">
      <c r="E755" s="1"/>
      <c r="F755" s="1"/>
      <c r="G755" s="1"/>
      <c r="H755" s="1"/>
      <c r="I755" s="1"/>
      <c r="J755" s="1"/>
      <c r="K755" s="2"/>
      <c r="L755" s="3"/>
      <c r="M755" s="3"/>
      <c r="N755" s="3"/>
      <c r="O755" s="3"/>
      <c r="P755" s="3"/>
      <c r="Q755" s="1"/>
      <c r="R755" s="1"/>
      <c r="S755" s="1"/>
    </row>
    <row r="756" spans="5:19" ht="15.75" customHeight="1">
      <c r="E756" s="1"/>
      <c r="F756" s="1"/>
      <c r="G756" s="1"/>
      <c r="H756" s="1"/>
      <c r="I756" s="1"/>
      <c r="J756" s="1"/>
      <c r="K756" s="2"/>
      <c r="L756" s="3"/>
      <c r="M756" s="3"/>
      <c r="N756" s="3"/>
      <c r="O756" s="3"/>
      <c r="P756" s="3"/>
      <c r="Q756" s="1"/>
      <c r="R756" s="1"/>
      <c r="S756" s="1"/>
    </row>
    <row r="757" spans="5:19" ht="15.75" customHeight="1">
      <c r="E757" s="1"/>
      <c r="F757" s="1"/>
      <c r="G757" s="1"/>
      <c r="H757" s="1"/>
      <c r="I757" s="1"/>
      <c r="J757" s="1"/>
      <c r="K757" s="2"/>
      <c r="L757" s="3"/>
      <c r="M757" s="3"/>
      <c r="N757" s="3"/>
      <c r="O757" s="3"/>
      <c r="P757" s="3"/>
      <c r="Q757" s="1"/>
      <c r="R757" s="1"/>
      <c r="S757" s="1"/>
    </row>
    <row r="758" spans="5:19" ht="15.75" customHeight="1">
      <c r="E758" s="1"/>
      <c r="F758" s="1"/>
      <c r="G758" s="1"/>
      <c r="H758" s="1"/>
      <c r="I758" s="1"/>
      <c r="J758" s="1"/>
      <c r="K758" s="2"/>
      <c r="L758" s="3"/>
      <c r="M758" s="3"/>
      <c r="N758" s="3"/>
      <c r="O758" s="3"/>
      <c r="P758" s="3"/>
      <c r="Q758" s="1"/>
      <c r="R758" s="1"/>
      <c r="S758" s="1"/>
    </row>
    <row r="759" spans="5:19" ht="15.75" customHeight="1">
      <c r="E759" s="1"/>
      <c r="F759" s="1"/>
      <c r="G759" s="1"/>
      <c r="H759" s="1"/>
      <c r="I759" s="1"/>
      <c r="J759" s="1"/>
      <c r="K759" s="2"/>
      <c r="L759" s="3"/>
      <c r="M759" s="3"/>
      <c r="N759" s="3"/>
      <c r="O759" s="3"/>
      <c r="P759" s="3"/>
      <c r="Q759" s="1"/>
      <c r="R759" s="1"/>
      <c r="S759" s="1"/>
    </row>
    <row r="760" spans="5:19" ht="15.75" customHeight="1">
      <c r="E760" s="1"/>
      <c r="F760" s="1"/>
      <c r="G760" s="1"/>
      <c r="H760" s="1"/>
      <c r="I760" s="1"/>
      <c r="J760" s="1"/>
      <c r="K760" s="2"/>
      <c r="L760" s="3"/>
      <c r="M760" s="3"/>
      <c r="N760" s="3"/>
      <c r="O760" s="3"/>
      <c r="P760" s="3"/>
      <c r="Q760" s="1"/>
      <c r="R760" s="1"/>
      <c r="S760" s="1"/>
    </row>
    <row r="761" spans="5:19" ht="15.75" customHeight="1">
      <c r="E761" s="1"/>
      <c r="F761" s="1"/>
      <c r="G761" s="1"/>
      <c r="H761" s="1"/>
      <c r="I761" s="1"/>
      <c r="J761" s="1"/>
      <c r="K761" s="2"/>
      <c r="L761" s="3"/>
      <c r="M761" s="3"/>
      <c r="N761" s="3"/>
      <c r="O761" s="3"/>
      <c r="P761" s="3"/>
      <c r="Q761" s="1"/>
      <c r="R761" s="1"/>
      <c r="S761" s="1"/>
    </row>
    <row r="762" spans="5:19" ht="15.75" customHeight="1">
      <c r="E762" s="1"/>
      <c r="F762" s="1"/>
      <c r="G762" s="1"/>
      <c r="H762" s="1"/>
      <c r="I762" s="1"/>
      <c r="J762" s="1"/>
      <c r="K762" s="2"/>
      <c r="L762" s="3"/>
      <c r="M762" s="3"/>
      <c r="N762" s="3"/>
      <c r="O762" s="3"/>
      <c r="P762" s="3"/>
      <c r="Q762" s="1"/>
      <c r="R762" s="1"/>
      <c r="S762" s="1"/>
    </row>
    <row r="763" spans="5:19" ht="15.75" customHeight="1">
      <c r="E763" s="1"/>
      <c r="F763" s="1"/>
      <c r="G763" s="1"/>
      <c r="H763" s="1"/>
      <c r="I763" s="1"/>
      <c r="J763" s="1"/>
      <c r="K763" s="2"/>
      <c r="L763" s="3"/>
      <c r="M763" s="3"/>
      <c r="N763" s="3"/>
      <c r="O763" s="3"/>
      <c r="P763" s="3"/>
      <c r="Q763" s="1"/>
      <c r="R763" s="1"/>
      <c r="S763" s="1"/>
    </row>
    <row r="764" spans="5:19" ht="15.75" customHeight="1">
      <c r="E764" s="1"/>
      <c r="F764" s="1"/>
      <c r="G764" s="1"/>
      <c r="H764" s="1"/>
      <c r="I764" s="1"/>
      <c r="J764" s="1"/>
      <c r="K764" s="2"/>
      <c r="L764" s="3"/>
      <c r="M764" s="3"/>
      <c r="N764" s="3"/>
      <c r="O764" s="3"/>
      <c r="P764" s="3"/>
      <c r="Q764" s="1"/>
      <c r="R764" s="1"/>
      <c r="S764" s="1"/>
    </row>
    <row r="765" spans="5:19" ht="15.75" customHeight="1">
      <c r="E765" s="1"/>
      <c r="F765" s="1"/>
      <c r="G765" s="1"/>
      <c r="H765" s="1"/>
      <c r="I765" s="1"/>
      <c r="J765" s="1"/>
      <c r="K765" s="2"/>
      <c r="L765" s="3"/>
      <c r="M765" s="3"/>
      <c r="N765" s="3"/>
      <c r="O765" s="3"/>
      <c r="P765" s="3"/>
      <c r="Q765" s="1"/>
      <c r="R765" s="1"/>
      <c r="S765" s="1"/>
    </row>
    <row r="766" spans="5:19" ht="15.75" customHeight="1">
      <c r="E766" s="1"/>
      <c r="F766" s="1"/>
      <c r="G766" s="1"/>
      <c r="H766" s="1"/>
      <c r="I766" s="1"/>
      <c r="J766" s="1"/>
      <c r="K766" s="2"/>
      <c r="L766" s="3"/>
      <c r="M766" s="3"/>
      <c r="N766" s="3"/>
      <c r="O766" s="3"/>
      <c r="P766" s="3"/>
      <c r="Q766" s="1"/>
      <c r="R766" s="1"/>
      <c r="S766" s="1"/>
    </row>
    <row r="767" spans="5:19" ht="15.75" customHeight="1">
      <c r="E767" s="1"/>
      <c r="F767" s="1"/>
      <c r="G767" s="1"/>
      <c r="H767" s="1"/>
      <c r="I767" s="1"/>
      <c r="J767" s="1"/>
      <c r="K767" s="2"/>
      <c r="L767" s="3"/>
      <c r="M767" s="3"/>
      <c r="N767" s="3"/>
      <c r="O767" s="3"/>
      <c r="P767" s="3"/>
      <c r="Q767" s="1"/>
      <c r="R767" s="1"/>
      <c r="S767" s="1"/>
    </row>
    <row r="768" spans="5:19" ht="15.75" customHeight="1">
      <c r="E768" s="1"/>
      <c r="F768" s="1"/>
      <c r="G768" s="1"/>
      <c r="H768" s="1"/>
      <c r="I768" s="1"/>
      <c r="J768" s="1"/>
      <c r="K768" s="2"/>
      <c r="L768" s="3"/>
      <c r="M768" s="3"/>
      <c r="N768" s="3"/>
      <c r="O768" s="3"/>
      <c r="P768" s="3"/>
      <c r="Q768" s="1"/>
      <c r="R768" s="1"/>
      <c r="S768" s="1"/>
    </row>
    <row r="769" spans="5:19" ht="15.75" customHeight="1">
      <c r="E769" s="1"/>
      <c r="F769" s="1"/>
      <c r="G769" s="1"/>
      <c r="H769" s="1"/>
      <c r="I769" s="1"/>
      <c r="J769" s="1"/>
      <c r="K769" s="2"/>
      <c r="L769" s="3"/>
      <c r="M769" s="3"/>
      <c r="N769" s="3"/>
      <c r="O769" s="3"/>
      <c r="P769" s="3"/>
      <c r="Q769" s="1"/>
      <c r="R769" s="1"/>
      <c r="S769" s="1"/>
    </row>
    <row r="770" spans="5:19" ht="15.75" customHeight="1">
      <c r="E770" s="1"/>
      <c r="F770" s="1"/>
      <c r="G770" s="1"/>
      <c r="H770" s="1"/>
      <c r="I770" s="1"/>
      <c r="J770" s="1"/>
      <c r="K770" s="2"/>
      <c r="L770" s="3"/>
      <c r="M770" s="3"/>
      <c r="N770" s="3"/>
      <c r="O770" s="3"/>
      <c r="P770" s="3"/>
      <c r="Q770" s="1"/>
      <c r="R770" s="1"/>
      <c r="S770" s="1"/>
    </row>
    <row r="771" spans="5:19" ht="15.75" customHeight="1">
      <c r="E771" s="1"/>
      <c r="F771" s="1"/>
      <c r="G771" s="1"/>
      <c r="H771" s="1"/>
      <c r="I771" s="1"/>
      <c r="J771" s="1"/>
      <c r="K771" s="2"/>
      <c r="L771" s="3"/>
      <c r="M771" s="3"/>
      <c r="N771" s="3"/>
      <c r="O771" s="3"/>
      <c r="P771" s="3"/>
      <c r="Q771" s="1"/>
      <c r="R771" s="1"/>
      <c r="S771" s="1"/>
    </row>
    <row r="772" spans="5:19" ht="15.75" customHeight="1">
      <c r="E772" s="1"/>
      <c r="F772" s="1"/>
      <c r="G772" s="1"/>
      <c r="H772" s="1"/>
      <c r="I772" s="1"/>
      <c r="J772" s="1"/>
      <c r="K772" s="2"/>
      <c r="L772" s="3"/>
      <c r="M772" s="3"/>
      <c r="N772" s="3"/>
      <c r="O772" s="3"/>
      <c r="P772" s="3"/>
      <c r="Q772" s="1"/>
      <c r="R772" s="1"/>
      <c r="S772" s="1"/>
    </row>
    <row r="773" spans="5:19" ht="15.75" customHeight="1">
      <c r="E773" s="1"/>
      <c r="F773" s="1"/>
      <c r="G773" s="1"/>
      <c r="H773" s="1"/>
      <c r="I773" s="1"/>
      <c r="J773" s="1"/>
      <c r="K773" s="2"/>
      <c r="L773" s="3"/>
      <c r="M773" s="3"/>
      <c r="N773" s="3"/>
      <c r="O773" s="3"/>
      <c r="P773" s="3"/>
      <c r="Q773" s="1"/>
      <c r="R773" s="1"/>
      <c r="S773" s="1"/>
    </row>
    <row r="774" spans="5:19" ht="15.75" customHeight="1">
      <c r="E774" s="1"/>
      <c r="F774" s="1"/>
      <c r="G774" s="1"/>
      <c r="H774" s="1"/>
      <c r="I774" s="1"/>
      <c r="J774" s="1"/>
      <c r="K774" s="2"/>
      <c r="L774" s="3"/>
      <c r="M774" s="3"/>
      <c r="N774" s="3"/>
      <c r="O774" s="3"/>
      <c r="P774" s="3"/>
      <c r="Q774" s="1"/>
      <c r="R774" s="1"/>
      <c r="S774" s="1"/>
    </row>
    <row r="775" spans="5:19" ht="15.75" customHeight="1">
      <c r="E775" s="1"/>
      <c r="F775" s="1"/>
      <c r="G775" s="1"/>
      <c r="H775" s="1"/>
      <c r="I775" s="1"/>
      <c r="J775" s="1"/>
      <c r="K775" s="2"/>
      <c r="L775" s="3"/>
      <c r="M775" s="3"/>
      <c r="N775" s="3"/>
      <c r="O775" s="3"/>
      <c r="P775" s="3"/>
      <c r="Q775" s="1"/>
      <c r="R775" s="1"/>
      <c r="S775" s="1"/>
    </row>
    <row r="776" spans="5:19" ht="15.75" customHeight="1">
      <c r="E776" s="1"/>
      <c r="F776" s="1"/>
      <c r="G776" s="1"/>
      <c r="H776" s="1"/>
      <c r="I776" s="1"/>
      <c r="J776" s="1"/>
      <c r="K776" s="2"/>
      <c r="L776" s="3"/>
      <c r="M776" s="3"/>
      <c r="N776" s="3"/>
      <c r="O776" s="3"/>
      <c r="P776" s="3"/>
      <c r="Q776" s="1"/>
      <c r="R776" s="1"/>
      <c r="S776" s="1"/>
    </row>
    <row r="777" spans="5:19" ht="15.75" customHeight="1">
      <c r="E777" s="1"/>
      <c r="F777" s="1"/>
      <c r="G777" s="1"/>
      <c r="H777" s="1"/>
      <c r="I777" s="1"/>
      <c r="J777" s="1"/>
      <c r="K777" s="2"/>
      <c r="L777" s="3"/>
      <c r="M777" s="3"/>
      <c r="N777" s="3"/>
      <c r="O777" s="3"/>
      <c r="P777" s="3"/>
      <c r="Q777" s="1"/>
      <c r="R777" s="1"/>
      <c r="S777" s="1"/>
    </row>
    <row r="778" spans="5:19" ht="15.75" customHeight="1">
      <c r="E778" s="1"/>
      <c r="F778" s="1"/>
      <c r="G778" s="1"/>
      <c r="H778" s="1"/>
      <c r="I778" s="1"/>
      <c r="J778" s="1"/>
      <c r="K778" s="2"/>
      <c r="L778" s="3"/>
      <c r="M778" s="3"/>
      <c r="N778" s="3"/>
      <c r="O778" s="3"/>
      <c r="P778" s="3"/>
      <c r="Q778" s="1"/>
      <c r="R778" s="1"/>
      <c r="S778" s="1"/>
    </row>
    <row r="779" spans="5:19" ht="15.75" customHeight="1">
      <c r="E779" s="1"/>
      <c r="F779" s="1"/>
      <c r="G779" s="1"/>
      <c r="H779" s="1"/>
      <c r="I779" s="1"/>
      <c r="J779" s="1"/>
      <c r="K779" s="2"/>
      <c r="L779" s="3"/>
      <c r="M779" s="3"/>
      <c r="N779" s="3"/>
      <c r="O779" s="3"/>
      <c r="P779" s="3"/>
      <c r="Q779" s="1"/>
      <c r="R779" s="1"/>
      <c r="S779" s="1"/>
    </row>
    <row r="780" spans="5:19" ht="15.75" customHeight="1">
      <c r="E780" s="1"/>
      <c r="F780" s="1"/>
      <c r="G780" s="1"/>
      <c r="H780" s="1"/>
      <c r="I780" s="1"/>
      <c r="J780" s="1"/>
      <c r="K780" s="2"/>
      <c r="L780" s="3"/>
      <c r="M780" s="3"/>
      <c r="N780" s="3"/>
      <c r="O780" s="3"/>
      <c r="P780" s="3"/>
      <c r="Q780" s="1"/>
      <c r="R780" s="1"/>
      <c r="S780" s="1"/>
    </row>
    <row r="781" spans="5:19" ht="15.75" customHeight="1">
      <c r="E781" s="1"/>
      <c r="F781" s="1"/>
      <c r="G781" s="1"/>
      <c r="H781" s="1"/>
      <c r="I781" s="1"/>
      <c r="J781" s="1"/>
      <c r="K781" s="2"/>
      <c r="L781" s="3"/>
      <c r="M781" s="3"/>
      <c r="N781" s="3"/>
      <c r="O781" s="3"/>
      <c r="P781" s="3"/>
      <c r="Q781" s="1"/>
      <c r="R781" s="1"/>
      <c r="S781" s="1"/>
    </row>
    <row r="782" spans="5:19" ht="15.75" customHeight="1">
      <c r="E782" s="1"/>
      <c r="F782" s="1"/>
      <c r="G782" s="1"/>
      <c r="H782" s="1"/>
      <c r="I782" s="1"/>
      <c r="J782" s="1"/>
      <c r="K782" s="2"/>
      <c r="L782" s="3"/>
      <c r="M782" s="3"/>
      <c r="N782" s="3"/>
      <c r="O782" s="3"/>
      <c r="P782" s="3"/>
      <c r="Q782" s="1"/>
      <c r="R782" s="1"/>
      <c r="S782" s="1"/>
    </row>
    <row r="783" spans="5:19" ht="15.75" customHeight="1">
      <c r="E783" s="1"/>
      <c r="F783" s="1"/>
      <c r="G783" s="1"/>
      <c r="H783" s="1"/>
      <c r="I783" s="1"/>
      <c r="J783" s="1"/>
      <c r="K783" s="2"/>
      <c r="L783" s="3"/>
      <c r="M783" s="3"/>
      <c r="N783" s="3"/>
      <c r="O783" s="3"/>
      <c r="P783" s="3"/>
      <c r="Q783" s="1"/>
      <c r="R783" s="1"/>
      <c r="S783" s="1"/>
    </row>
    <row r="784" spans="5:19" ht="15.75" customHeight="1">
      <c r="E784" s="1"/>
      <c r="F784" s="1"/>
      <c r="G784" s="1"/>
      <c r="H784" s="1"/>
      <c r="I784" s="1"/>
      <c r="J784" s="1"/>
      <c r="K784" s="2"/>
      <c r="L784" s="3"/>
      <c r="M784" s="3"/>
      <c r="N784" s="3"/>
      <c r="O784" s="3"/>
      <c r="P784" s="3"/>
      <c r="Q784" s="1"/>
      <c r="R784" s="1"/>
      <c r="S784" s="1"/>
    </row>
    <row r="785" spans="5:19" ht="15.75" customHeight="1">
      <c r="E785" s="1"/>
      <c r="F785" s="1"/>
      <c r="G785" s="1"/>
      <c r="H785" s="1"/>
      <c r="I785" s="1"/>
      <c r="J785" s="1"/>
      <c r="K785" s="2"/>
      <c r="L785" s="3"/>
      <c r="M785" s="3"/>
      <c r="N785" s="3"/>
      <c r="O785" s="3"/>
      <c r="P785" s="3"/>
      <c r="Q785" s="1"/>
      <c r="R785" s="1"/>
      <c r="S785" s="1"/>
    </row>
    <row r="786" spans="5:19" ht="15.75" customHeight="1">
      <c r="E786" s="1"/>
      <c r="F786" s="1"/>
      <c r="G786" s="1"/>
      <c r="H786" s="1"/>
      <c r="I786" s="1"/>
      <c r="J786" s="1"/>
      <c r="K786" s="2"/>
      <c r="L786" s="3"/>
      <c r="M786" s="3"/>
      <c r="N786" s="3"/>
      <c r="O786" s="3"/>
      <c r="P786" s="3"/>
      <c r="Q786" s="1"/>
      <c r="R786" s="1"/>
      <c r="S786" s="1"/>
    </row>
    <row r="787" spans="5:19" ht="15.75" customHeight="1">
      <c r="E787" s="1"/>
      <c r="F787" s="1"/>
      <c r="G787" s="1"/>
      <c r="H787" s="1"/>
      <c r="I787" s="1"/>
      <c r="J787" s="1"/>
      <c r="K787" s="2"/>
      <c r="L787" s="3"/>
      <c r="M787" s="3"/>
      <c r="N787" s="3"/>
      <c r="O787" s="3"/>
      <c r="P787" s="3"/>
      <c r="Q787" s="1"/>
      <c r="R787" s="1"/>
      <c r="S787" s="1"/>
    </row>
    <row r="788" spans="5:19" ht="15.75" customHeight="1">
      <c r="E788" s="1"/>
      <c r="F788" s="1"/>
      <c r="G788" s="1"/>
      <c r="H788" s="1"/>
      <c r="I788" s="1"/>
      <c r="J788" s="1"/>
      <c r="K788" s="2"/>
      <c r="L788" s="3"/>
      <c r="M788" s="3"/>
      <c r="N788" s="3"/>
      <c r="O788" s="3"/>
      <c r="P788" s="3"/>
      <c r="Q788" s="1"/>
      <c r="R788" s="1"/>
      <c r="S788" s="1"/>
    </row>
    <row r="789" spans="5:19" ht="15.75" customHeight="1">
      <c r="E789" s="1"/>
      <c r="F789" s="1"/>
      <c r="G789" s="1"/>
      <c r="H789" s="1"/>
      <c r="I789" s="1"/>
      <c r="J789" s="1"/>
      <c r="K789" s="2"/>
      <c r="L789" s="3"/>
      <c r="M789" s="3"/>
      <c r="N789" s="3"/>
      <c r="O789" s="3"/>
      <c r="P789" s="3"/>
      <c r="Q789" s="1"/>
      <c r="R789" s="1"/>
      <c r="S789" s="1"/>
    </row>
    <row r="790" spans="5:19" ht="15.75" customHeight="1">
      <c r="E790" s="1"/>
      <c r="F790" s="1"/>
      <c r="G790" s="1"/>
      <c r="H790" s="1"/>
      <c r="I790" s="1"/>
      <c r="J790" s="1"/>
      <c r="K790" s="2"/>
      <c r="L790" s="3"/>
      <c r="M790" s="3"/>
      <c r="N790" s="3"/>
      <c r="O790" s="3"/>
      <c r="P790" s="3"/>
      <c r="Q790" s="1"/>
      <c r="R790" s="1"/>
      <c r="S790" s="1"/>
    </row>
    <row r="791" spans="5:19" ht="15.75" customHeight="1">
      <c r="E791" s="1"/>
      <c r="F791" s="1"/>
      <c r="G791" s="1"/>
      <c r="H791" s="1"/>
      <c r="I791" s="1"/>
      <c r="J791" s="1"/>
      <c r="K791" s="2"/>
      <c r="L791" s="3"/>
      <c r="M791" s="3"/>
      <c r="N791" s="3"/>
      <c r="O791" s="3"/>
      <c r="P791" s="3"/>
      <c r="Q791" s="1"/>
      <c r="R791" s="1"/>
      <c r="S791" s="1"/>
    </row>
    <row r="792" spans="5:19" ht="15.75" customHeight="1">
      <c r="E792" s="1"/>
      <c r="F792" s="1"/>
      <c r="G792" s="1"/>
      <c r="H792" s="1"/>
      <c r="I792" s="1"/>
      <c r="J792" s="1"/>
      <c r="K792" s="2"/>
      <c r="L792" s="3"/>
      <c r="M792" s="3"/>
      <c r="N792" s="3"/>
      <c r="O792" s="3"/>
      <c r="P792" s="3"/>
      <c r="Q792" s="1"/>
      <c r="R792" s="1"/>
      <c r="S792" s="1"/>
    </row>
    <row r="793" spans="5:19" ht="15.75" customHeight="1">
      <c r="E793" s="1"/>
      <c r="F793" s="1"/>
      <c r="G793" s="1"/>
      <c r="H793" s="1"/>
      <c r="I793" s="1"/>
      <c r="J793" s="1"/>
      <c r="K793" s="2"/>
      <c r="L793" s="3"/>
      <c r="M793" s="3"/>
      <c r="N793" s="3"/>
      <c r="O793" s="3"/>
      <c r="P793" s="3"/>
      <c r="Q793" s="1"/>
      <c r="R793" s="1"/>
      <c r="S793" s="1"/>
    </row>
    <row r="794" spans="5:19" ht="15.75" customHeight="1">
      <c r="E794" s="1"/>
      <c r="F794" s="1"/>
      <c r="G794" s="1"/>
      <c r="H794" s="1"/>
      <c r="I794" s="1"/>
      <c r="J794" s="1"/>
      <c r="K794" s="2"/>
      <c r="L794" s="3"/>
      <c r="M794" s="3"/>
      <c r="N794" s="3"/>
      <c r="O794" s="3"/>
      <c r="P794" s="3"/>
      <c r="Q794" s="1"/>
      <c r="R794" s="1"/>
      <c r="S794" s="1"/>
    </row>
    <row r="795" spans="5:19" ht="15.75" customHeight="1">
      <c r="E795" s="1"/>
      <c r="F795" s="1"/>
      <c r="G795" s="1"/>
      <c r="H795" s="1"/>
      <c r="I795" s="1"/>
      <c r="J795" s="1"/>
      <c r="K795" s="2"/>
      <c r="L795" s="3"/>
      <c r="M795" s="3"/>
      <c r="N795" s="3"/>
      <c r="O795" s="3"/>
      <c r="P795" s="3"/>
      <c r="Q795" s="1"/>
      <c r="R795" s="1"/>
      <c r="S795" s="1"/>
    </row>
    <row r="796" spans="5:19" ht="15.75" customHeight="1">
      <c r="E796" s="1"/>
      <c r="F796" s="1"/>
      <c r="G796" s="1"/>
      <c r="H796" s="1"/>
      <c r="I796" s="1"/>
      <c r="J796" s="1"/>
      <c r="K796" s="2"/>
      <c r="L796" s="3"/>
      <c r="M796" s="3"/>
      <c r="N796" s="3"/>
      <c r="O796" s="3"/>
      <c r="P796" s="3"/>
      <c r="Q796" s="1"/>
      <c r="R796" s="1"/>
      <c r="S796" s="1"/>
    </row>
    <row r="797" spans="5:19" ht="15.75" customHeight="1">
      <c r="E797" s="1"/>
      <c r="F797" s="1"/>
      <c r="G797" s="1"/>
      <c r="H797" s="1"/>
      <c r="I797" s="1"/>
      <c r="J797" s="1"/>
      <c r="K797" s="2"/>
      <c r="L797" s="3"/>
      <c r="M797" s="3"/>
      <c r="N797" s="3"/>
      <c r="O797" s="3"/>
      <c r="P797" s="3"/>
      <c r="Q797" s="1"/>
      <c r="R797" s="1"/>
      <c r="S797" s="1"/>
    </row>
    <row r="798" spans="5:19" ht="15.75" customHeight="1">
      <c r="E798" s="1"/>
      <c r="F798" s="1"/>
      <c r="G798" s="1"/>
      <c r="H798" s="1"/>
      <c r="I798" s="1"/>
      <c r="J798" s="1"/>
      <c r="K798" s="2"/>
      <c r="L798" s="3"/>
      <c r="M798" s="3"/>
      <c r="N798" s="3"/>
      <c r="O798" s="3"/>
      <c r="P798" s="3"/>
      <c r="Q798" s="1"/>
      <c r="R798" s="1"/>
      <c r="S798" s="1"/>
    </row>
    <row r="799" spans="5:19" ht="15.75" customHeight="1">
      <c r="E799" s="1"/>
      <c r="F799" s="1"/>
      <c r="G799" s="1"/>
      <c r="H799" s="1"/>
      <c r="I799" s="1"/>
      <c r="J799" s="1"/>
      <c r="K799" s="2"/>
      <c r="L799" s="3"/>
      <c r="M799" s="3"/>
      <c r="N799" s="3"/>
      <c r="O799" s="3"/>
      <c r="P799" s="3"/>
      <c r="Q799" s="1"/>
      <c r="R799" s="1"/>
      <c r="S799" s="1"/>
    </row>
    <row r="800" spans="5:19" ht="15.75" customHeight="1">
      <c r="E800" s="1"/>
      <c r="F800" s="1"/>
      <c r="G800" s="1"/>
      <c r="H800" s="1"/>
      <c r="I800" s="1"/>
      <c r="J800" s="1"/>
      <c r="K800" s="2"/>
      <c r="L800" s="3"/>
      <c r="M800" s="3"/>
      <c r="N800" s="3"/>
      <c r="O800" s="3"/>
      <c r="P800" s="3"/>
      <c r="Q800" s="1"/>
      <c r="R800" s="1"/>
      <c r="S800" s="1"/>
    </row>
    <row r="801" spans="5:19" ht="15.75" customHeight="1">
      <c r="E801" s="1"/>
      <c r="F801" s="1"/>
      <c r="G801" s="1"/>
      <c r="H801" s="1"/>
      <c r="I801" s="1"/>
      <c r="J801" s="1"/>
      <c r="K801" s="2"/>
      <c r="L801" s="3"/>
      <c r="M801" s="3"/>
      <c r="N801" s="3"/>
      <c r="O801" s="3"/>
      <c r="P801" s="3"/>
      <c r="Q801" s="1"/>
      <c r="R801" s="1"/>
      <c r="S801" s="1"/>
    </row>
    <row r="802" spans="5:19" ht="15.75" customHeight="1">
      <c r="E802" s="1"/>
      <c r="F802" s="1"/>
      <c r="G802" s="1"/>
      <c r="H802" s="1"/>
      <c r="I802" s="1"/>
      <c r="J802" s="1"/>
      <c r="K802" s="2"/>
      <c r="L802" s="3"/>
      <c r="M802" s="3"/>
      <c r="N802" s="3"/>
      <c r="O802" s="3"/>
      <c r="P802" s="3"/>
      <c r="Q802" s="1"/>
      <c r="R802" s="1"/>
      <c r="S802" s="1"/>
    </row>
    <row r="803" spans="5:19" ht="15.75" customHeight="1">
      <c r="E803" s="1"/>
      <c r="F803" s="1"/>
      <c r="G803" s="1"/>
      <c r="H803" s="1"/>
      <c r="I803" s="1"/>
      <c r="J803" s="1"/>
      <c r="K803" s="2"/>
      <c r="L803" s="3"/>
      <c r="M803" s="3"/>
      <c r="N803" s="3"/>
      <c r="O803" s="3"/>
      <c r="P803" s="3"/>
      <c r="Q803" s="1"/>
      <c r="R803" s="1"/>
      <c r="S803" s="1"/>
    </row>
    <row r="804" spans="5:19" ht="15.75" customHeight="1">
      <c r="E804" s="1"/>
      <c r="F804" s="1"/>
      <c r="G804" s="1"/>
      <c r="H804" s="1"/>
      <c r="I804" s="1"/>
      <c r="J804" s="1"/>
      <c r="K804" s="2"/>
      <c r="L804" s="3"/>
      <c r="M804" s="3"/>
      <c r="N804" s="3"/>
      <c r="O804" s="3"/>
      <c r="P804" s="3"/>
      <c r="Q804" s="1"/>
      <c r="R804" s="1"/>
      <c r="S804" s="1"/>
    </row>
    <row r="805" spans="5:19" ht="15.75" customHeight="1">
      <c r="E805" s="1"/>
      <c r="F805" s="1"/>
      <c r="G805" s="1"/>
      <c r="H805" s="1"/>
      <c r="I805" s="1"/>
      <c r="J805" s="1"/>
      <c r="K805" s="2"/>
      <c r="L805" s="3"/>
      <c r="M805" s="3"/>
      <c r="N805" s="3"/>
      <c r="O805" s="3"/>
      <c r="P805" s="3"/>
      <c r="Q805" s="1"/>
      <c r="R805" s="1"/>
      <c r="S805" s="1"/>
    </row>
    <row r="806" spans="5:19" ht="15.75" customHeight="1">
      <c r="E806" s="1"/>
      <c r="F806" s="1"/>
      <c r="G806" s="1"/>
      <c r="H806" s="1"/>
      <c r="I806" s="1"/>
      <c r="J806" s="1"/>
      <c r="K806" s="2"/>
      <c r="L806" s="3"/>
      <c r="M806" s="3"/>
      <c r="N806" s="3"/>
      <c r="O806" s="3"/>
      <c r="P806" s="3"/>
      <c r="Q806" s="1"/>
      <c r="R806" s="1"/>
      <c r="S806" s="1"/>
    </row>
    <row r="807" spans="5:19" ht="15.75" customHeight="1">
      <c r="E807" s="1"/>
      <c r="F807" s="1"/>
      <c r="G807" s="1"/>
      <c r="H807" s="1"/>
      <c r="I807" s="1"/>
      <c r="J807" s="1"/>
      <c r="K807" s="2"/>
      <c r="L807" s="3"/>
      <c r="M807" s="3"/>
      <c r="N807" s="3"/>
      <c r="O807" s="3"/>
      <c r="P807" s="3"/>
      <c r="Q807" s="1"/>
      <c r="R807" s="1"/>
      <c r="S807" s="1"/>
    </row>
    <row r="808" spans="5:19" ht="15.75" customHeight="1">
      <c r="E808" s="1"/>
      <c r="F808" s="1"/>
      <c r="G808" s="1"/>
      <c r="H808" s="1"/>
      <c r="I808" s="1"/>
      <c r="J808" s="1"/>
      <c r="K808" s="2"/>
      <c r="L808" s="3"/>
      <c r="M808" s="3"/>
      <c r="N808" s="3"/>
      <c r="O808" s="3"/>
      <c r="P808" s="3"/>
      <c r="Q808" s="1"/>
      <c r="R808" s="1"/>
      <c r="S808" s="1"/>
    </row>
    <row r="809" spans="5:19" ht="15.75" customHeight="1">
      <c r="E809" s="1"/>
      <c r="F809" s="1"/>
      <c r="G809" s="1"/>
      <c r="H809" s="1"/>
      <c r="I809" s="1"/>
      <c r="J809" s="1"/>
      <c r="K809" s="2"/>
      <c r="L809" s="3"/>
      <c r="M809" s="3"/>
      <c r="N809" s="3"/>
      <c r="O809" s="3"/>
      <c r="P809" s="3"/>
      <c r="Q809" s="1"/>
      <c r="R809" s="1"/>
      <c r="S809" s="1"/>
    </row>
    <row r="810" spans="5:19" ht="15.75" customHeight="1">
      <c r="E810" s="1"/>
      <c r="F810" s="1"/>
      <c r="G810" s="1"/>
      <c r="H810" s="1"/>
      <c r="I810" s="1"/>
      <c r="J810" s="1"/>
      <c r="K810" s="2"/>
      <c r="L810" s="3"/>
      <c r="M810" s="3"/>
      <c r="N810" s="3"/>
      <c r="O810" s="3"/>
      <c r="P810" s="3"/>
      <c r="Q810" s="1"/>
      <c r="R810" s="1"/>
      <c r="S810" s="1"/>
    </row>
    <row r="811" spans="5:19" ht="15.75" customHeight="1">
      <c r="E811" s="1"/>
      <c r="F811" s="1"/>
      <c r="G811" s="1"/>
      <c r="H811" s="1"/>
      <c r="I811" s="1"/>
      <c r="J811" s="1"/>
      <c r="K811" s="2"/>
      <c r="L811" s="3"/>
      <c r="M811" s="3"/>
      <c r="N811" s="3"/>
      <c r="O811" s="3"/>
      <c r="P811" s="3"/>
      <c r="Q811" s="1"/>
      <c r="R811" s="1"/>
      <c r="S811" s="1"/>
    </row>
    <row r="812" spans="5:19" ht="15.75" customHeight="1">
      <c r="E812" s="1"/>
      <c r="F812" s="1"/>
      <c r="G812" s="1"/>
      <c r="H812" s="1"/>
      <c r="I812" s="1"/>
      <c r="J812" s="1"/>
      <c r="K812" s="2"/>
      <c r="L812" s="3"/>
      <c r="M812" s="3"/>
      <c r="N812" s="3"/>
      <c r="O812" s="3"/>
      <c r="P812" s="3"/>
      <c r="Q812" s="1"/>
      <c r="R812" s="1"/>
      <c r="S812" s="1"/>
    </row>
    <row r="813" spans="5:19" ht="15.75" customHeight="1">
      <c r="E813" s="1"/>
      <c r="F813" s="1"/>
      <c r="G813" s="1"/>
      <c r="H813" s="1"/>
      <c r="I813" s="1"/>
      <c r="J813" s="1"/>
      <c r="K813" s="2"/>
      <c r="L813" s="3"/>
      <c r="M813" s="3"/>
      <c r="N813" s="3"/>
      <c r="O813" s="3"/>
      <c r="P813" s="3"/>
      <c r="Q813" s="1"/>
      <c r="R813" s="1"/>
      <c r="S813" s="1"/>
    </row>
    <row r="814" spans="5:19" ht="15.75" customHeight="1">
      <c r="E814" s="1"/>
      <c r="F814" s="1"/>
      <c r="G814" s="1"/>
      <c r="H814" s="1"/>
      <c r="I814" s="1"/>
      <c r="J814" s="1"/>
      <c r="K814" s="2"/>
      <c r="L814" s="3"/>
      <c r="M814" s="3"/>
      <c r="N814" s="3"/>
      <c r="O814" s="3"/>
      <c r="P814" s="3"/>
      <c r="Q814" s="1"/>
      <c r="R814" s="1"/>
      <c r="S814" s="1"/>
    </row>
    <row r="815" spans="5:19" ht="15.75" customHeight="1">
      <c r="E815" s="1"/>
      <c r="F815" s="1"/>
      <c r="G815" s="1"/>
      <c r="H815" s="1"/>
      <c r="I815" s="1"/>
      <c r="J815" s="1"/>
      <c r="K815" s="2"/>
      <c r="L815" s="3"/>
      <c r="M815" s="3"/>
      <c r="N815" s="3"/>
      <c r="O815" s="3"/>
      <c r="P815" s="3"/>
      <c r="Q815" s="1"/>
      <c r="R815" s="1"/>
      <c r="S815" s="1"/>
    </row>
    <row r="816" spans="5:19" ht="15.75" customHeight="1">
      <c r="E816" s="1"/>
      <c r="F816" s="1"/>
      <c r="G816" s="1"/>
      <c r="H816" s="1"/>
      <c r="I816" s="1"/>
      <c r="J816" s="1"/>
      <c r="K816" s="2"/>
      <c r="L816" s="3"/>
      <c r="M816" s="3"/>
      <c r="N816" s="3"/>
      <c r="O816" s="3"/>
      <c r="P816" s="3"/>
      <c r="Q816" s="1"/>
      <c r="R816" s="1"/>
      <c r="S816" s="1"/>
    </row>
    <row r="817" spans="5:19" ht="15.75" customHeight="1">
      <c r="E817" s="1"/>
      <c r="F817" s="1"/>
      <c r="G817" s="1"/>
      <c r="H817" s="1"/>
      <c r="I817" s="1"/>
      <c r="J817" s="1"/>
      <c r="K817" s="2"/>
      <c r="L817" s="3"/>
      <c r="M817" s="3"/>
      <c r="N817" s="3"/>
      <c r="O817" s="3"/>
      <c r="P817" s="3"/>
      <c r="Q817" s="1"/>
      <c r="R817" s="1"/>
      <c r="S817" s="1"/>
    </row>
    <row r="818" spans="5:19" ht="15.75" customHeight="1">
      <c r="E818" s="1"/>
      <c r="F818" s="1"/>
      <c r="G818" s="1"/>
      <c r="H818" s="1"/>
      <c r="I818" s="1"/>
      <c r="J818" s="1"/>
      <c r="K818" s="2"/>
      <c r="L818" s="3"/>
      <c r="M818" s="3"/>
      <c r="N818" s="3"/>
      <c r="O818" s="3"/>
      <c r="P818" s="3"/>
      <c r="Q818" s="1"/>
      <c r="R818" s="1"/>
      <c r="S818" s="1"/>
    </row>
    <row r="819" spans="5:19" ht="15.75" customHeight="1">
      <c r="E819" s="1"/>
      <c r="F819" s="1"/>
      <c r="G819" s="1"/>
      <c r="H819" s="1"/>
      <c r="I819" s="1"/>
      <c r="J819" s="1"/>
      <c r="K819" s="2"/>
      <c r="L819" s="3"/>
      <c r="M819" s="3"/>
      <c r="N819" s="3"/>
      <c r="O819" s="3"/>
      <c r="P819" s="3"/>
      <c r="Q819" s="1"/>
      <c r="R819" s="1"/>
      <c r="S819" s="1"/>
    </row>
    <row r="820" spans="5:19" ht="15.75" customHeight="1">
      <c r="E820" s="1"/>
      <c r="F820" s="1"/>
      <c r="G820" s="1"/>
      <c r="H820" s="1"/>
      <c r="I820" s="1"/>
      <c r="J820" s="1"/>
      <c r="K820" s="2"/>
      <c r="L820" s="3"/>
      <c r="M820" s="3"/>
      <c r="N820" s="3"/>
      <c r="O820" s="3"/>
      <c r="P820" s="3"/>
      <c r="Q820" s="1"/>
      <c r="R820" s="1"/>
      <c r="S820" s="1"/>
    </row>
    <row r="821" spans="5:19" ht="15.75" customHeight="1">
      <c r="E821" s="1"/>
      <c r="F821" s="1"/>
      <c r="G821" s="1"/>
      <c r="H821" s="1"/>
      <c r="I821" s="1"/>
      <c r="J821" s="1"/>
      <c r="K821" s="2"/>
      <c r="L821" s="3"/>
      <c r="M821" s="3"/>
      <c r="N821" s="3"/>
      <c r="O821" s="3"/>
      <c r="P821" s="3"/>
      <c r="Q821" s="1"/>
      <c r="R821" s="1"/>
      <c r="S821" s="1"/>
    </row>
    <row r="822" spans="5:19">
      <c r="E822" s="1"/>
      <c r="F822" s="1"/>
      <c r="G822" s="1"/>
      <c r="H822" s="1"/>
      <c r="I822" s="1"/>
      <c r="J822" s="1"/>
      <c r="K822" s="2"/>
      <c r="L822" s="3"/>
      <c r="M822" s="3"/>
      <c r="N822" s="3"/>
      <c r="O822" s="3"/>
      <c r="P822" s="3"/>
      <c r="Q822" s="1"/>
      <c r="R822" s="1"/>
      <c r="S822" s="1"/>
    </row>
    <row r="823" spans="5:19">
      <c r="E823" s="1"/>
      <c r="F823" s="1"/>
      <c r="G823" s="1"/>
      <c r="H823" s="1"/>
      <c r="I823" s="1"/>
      <c r="J823" s="1"/>
      <c r="K823" s="2"/>
      <c r="L823" s="3"/>
      <c r="M823" s="3"/>
      <c r="N823" s="3"/>
      <c r="O823" s="3"/>
      <c r="P823" s="3"/>
      <c r="Q823" s="1"/>
      <c r="R823" s="1"/>
      <c r="S823" s="1"/>
    </row>
    <row r="824" spans="5:19">
      <c r="E824" s="1"/>
      <c r="F824" s="1"/>
      <c r="G824" s="1"/>
      <c r="H824" s="1"/>
      <c r="I824" s="1"/>
      <c r="J824" s="1"/>
      <c r="K824" s="2"/>
      <c r="L824" s="3"/>
      <c r="M824" s="3"/>
      <c r="N824" s="3"/>
      <c r="O824" s="3"/>
      <c r="P824" s="3"/>
      <c r="Q824" s="1"/>
      <c r="R824" s="1"/>
      <c r="S824" s="1"/>
    </row>
    <row r="825" spans="5:19">
      <c r="E825" s="1"/>
      <c r="F825" s="1"/>
      <c r="G825" s="1"/>
      <c r="H825" s="1"/>
      <c r="I825" s="1"/>
      <c r="J825" s="1"/>
      <c r="K825" s="2"/>
      <c r="L825" s="3"/>
      <c r="M825" s="3"/>
      <c r="N825" s="3"/>
      <c r="O825" s="3"/>
      <c r="P825" s="3"/>
      <c r="Q825" s="1"/>
      <c r="R825" s="1"/>
      <c r="S825" s="1"/>
    </row>
    <row r="826" spans="5:19">
      <c r="E826" s="1"/>
      <c r="F826" s="1"/>
      <c r="G826" s="1"/>
      <c r="H826" s="1"/>
      <c r="I826" s="1"/>
      <c r="J826" s="1"/>
      <c r="K826" s="2"/>
      <c r="L826" s="3"/>
      <c r="M826" s="3"/>
      <c r="N826" s="3"/>
      <c r="O826" s="3"/>
      <c r="P826" s="3"/>
      <c r="Q826" s="1"/>
      <c r="R826" s="1"/>
      <c r="S826" s="1"/>
    </row>
    <row r="827" spans="5:19">
      <c r="E827" s="1"/>
      <c r="F827" s="1"/>
      <c r="G827" s="1"/>
      <c r="H827" s="1"/>
      <c r="I827" s="1"/>
      <c r="J827" s="1"/>
      <c r="K827" s="2"/>
      <c r="L827" s="3"/>
      <c r="M827" s="3"/>
      <c r="N827" s="3"/>
      <c r="O827" s="3"/>
      <c r="P827" s="3"/>
      <c r="Q827" s="1"/>
      <c r="R827" s="1"/>
      <c r="S827" s="1"/>
    </row>
    <row r="828" spans="5:19">
      <c r="E828" s="1"/>
      <c r="F828" s="1"/>
      <c r="G828" s="1"/>
      <c r="H828" s="1"/>
      <c r="I828" s="1"/>
      <c r="J828" s="1"/>
      <c r="K828" s="2"/>
      <c r="L828" s="3"/>
      <c r="M828" s="3"/>
      <c r="N828" s="3"/>
      <c r="O828" s="3"/>
      <c r="P828" s="3"/>
      <c r="Q828" s="1"/>
      <c r="R828" s="1"/>
      <c r="S828" s="1"/>
    </row>
    <row r="829" spans="5:19">
      <c r="E829" s="1"/>
      <c r="F829" s="1"/>
      <c r="G829" s="1"/>
      <c r="H829" s="1"/>
      <c r="I829" s="1"/>
      <c r="J829" s="1"/>
      <c r="K829" s="2"/>
      <c r="L829" s="3"/>
      <c r="M829" s="3"/>
      <c r="N829" s="3"/>
      <c r="O829" s="3"/>
      <c r="P829" s="3"/>
      <c r="Q829" s="1"/>
      <c r="R829" s="1"/>
      <c r="S829" s="1"/>
    </row>
    <row r="830" spans="5:19">
      <c r="E830" s="1"/>
      <c r="F830" s="1"/>
      <c r="G830" s="1"/>
      <c r="H830" s="1"/>
      <c r="I830" s="1"/>
      <c r="J830" s="1"/>
      <c r="K830" s="2"/>
      <c r="L830" s="3"/>
      <c r="M830" s="3"/>
      <c r="N830" s="3"/>
      <c r="O830" s="3"/>
      <c r="P830" s="3"/>
      <c r="Q830" s="1"/>
      <c r="R830" s="1"/>
      <c r="S830" s="1"/>
    </row>
    <row r="831" spans="5:19">
      <c r="E831" s="1"/>
      <c r="F831" s="1"/>
      <c r="G831" s="1"/>
      <c r="H831" s="1"/>
      <c r="I831" s="1"/>
      <c r="J831" s="1"/>
      <c r="K831" s="2"/>
      <c r="L831" s="3"/>
      <c r="M831" s="3"/>
      <c r="N831" s="3"/>
      <c r="O831" s="3"/>
      <c r="P831" s="3"/>
      <c r="Q831" s="1"/>
      <c r="R831" s="1"/>
      <c r="S831" s="1"/>
    </row>
    <row r="832" spans="5:19">
      <c r="E832" s="1"/>
      <c r="F832" s="1"/>
      <c r="G832" s="1"/>
      <c r="H832" s="1"/>
      <c r="I832" s="1"/>
      <c r="J832" s="1"/>
      <c r="K832" s="2"/>
      <c r="L832" s="3"/>
      <c r="M832" s="3"/>
      <c r="N832" s="3"/>
      <c r="O832" s="3"/>
      <c r="P832" s="3"/>
      <c r="Q832" s="1"/>
      <c r="R832" s="1"/>
      <c r="S832" s="1"/>
    </row>
    <row r="833" spans="5:19">
      <c r="E833" s="1"/>
      <c r="F833" s="1"/>
      <c r="G833" s="1"/>
      <c r="H833" s="1"/>
      <c r="I833" s="1"/>
      <c r="J833" s="1"/>
      <c r="K833" s="2"/>
      <c r="L833" s="3"/>
      <c r="M833" s="3"/>
      <c r="N833" s="3"/>
      <c r="O833" s="3"/>
      <c r="P833" s="3"/>
      <c r="Q833" s="1"/>
      <c r="R833" s="1"/>
      <c r="S833" s="1"/>
    </row>
    <row r="834" spans="5:19">
      <c r="E834" s="1"/>
      <c r="F834" s="1"/>
      <c r="G834" s="1"/>
      <c r="H834" s="1"/>
      <c r="I834" s="1"/>
      <c r="J834" s="1"/>
      <c r="K834" s="2"/>
      <c r="L834" s="3"/>
      <c r="M834" s="3"/>
      <c r="N834" s="3"/>
      <c r="O834" s="3"/>
      <c r="P834" s="3"/>
      <c r="Q834" s="1"/>
      <c r="R834" s="1"/>
      <c r="S834" s="1"/>
    </row>
    <row r="835" spans="5:19">
      <c r="E835" s="1"/>
      <c r="F835" s="1"/>
      <c r="G835" s="1"/>
      <c r="H835" s="1"/>
      <c r="I835" s="1"/>
      <c r="J835" s="1"/>
      <c r="K835" s="2"/>
      <c r="L835" s="3"/>
      <c r="M835" s="3"/>
      <c r="N835" s="3"/>
      <c r="O835" s="3"/>
      <c r="P835" s="3"/>
      <c r="Q835" s="1"/>
      <c r="R835" s="1"/>
      <c r="S835" s="1"/>
    </row>
    <row r="836" spans="5:19">
      <c r="E836" s="1"/>
      <c r="F836" s="1"/>
      <c r="G836" s="1"/>
      <c r="H836" s="1"/>
      <c r="I836" s="1"/>
      <c r="J836" s="1"/>
      <c r="K836" s="2"/>
      <c r="L836" s="3"/>
      <c r="M836" s="3"/>
      <c r="N836" s="3"/>
      <c r="O836" s="3"/>
      <c r="P836" s="3"/>
      <c r="Q836" s="1"/>
      <c r="R836" s="1"/>
      <c r="S836" s="1"/>
    </row>
    <row r="837" spans="5:19">
      <c r="E837" s="1"/>
      <c r="F837" s="1"/>
      <c r="G837" s="1"/>
      <c r="H837" s="1"/>
      <c r="I837" s="1"/>
      <c r="J837" s="1"/>
      <c r="K837" s="2"/>
      <c r="L837" s="3"/>
      <c r="M837" s="3"/>
      <c r="N837" s="3"/>
      <c r="O837" s="3"/>
      <c r="P837" s="3"/>
      <c r="Q837" s="1"/>
      <c r="R837" s="1"/>
      <c r="S837" s="1"/>
    </row>
    <row r="838" spans="5:19">
      <c r="E838" s="1"/>
      <c r="F838" s="1"/>
      <c r="G838" s="1"/>
      <c r="H838" s="1"/>
      <c r="I838" s="1"/>
      <c r="J838" s="1"/>
      <c r="K838" s="2"/>
      <c r="L838" s="3"/>
      <c r="M838" s="3"/>
      <c r="N838" s="3"/>
      <c r="O838" s="3"/>
      <c r="P838" s="3"/>
      <c r="Q838" s="1"/>
      <c r="R838" s="1"/>
      <c r="S838" s="1"/>
    </row>
    <row r="839" spans="5:19">
      <c r="E839" s="1"/>
      <c r="F839" s="1"/>
      <c r="G839" s="1"/>
      <c r="H839" s="1"/>
      <c r="I839" s="1"/>
      <c r="J839" s="1"/>
      <c r="K839" s="2"/>
      <c r="L839" s="3"/>
      <c r="M839" s="3"/>
      <c r="N839" s="3"/>
      <c r="O839" s="3"/>
      <c r="P839" s="3"/>
      <c r="Q839" s="1"/>
      <c r="R839" s="1"/>
      <c r="S839" s="1"/>
    </row>
    <row r="840" spans="5:19">
      <c r="E840" s="1"/>
      <c r="F840" s="1"/>
      <c r="G840" s="1"/>
      <c r="H840" s="1"/>
      <c r="I840" s="1"/>
      <c r="J840" s="1"/>
      <c r="K840" s="2"/>
      <c r="L840" s="3"/>
      <c r="M840" s="3"/>
      <c r="N840" s="3"/>
      <c r="O840" s="3"/>
      <c r="P840" s="3"/>
      <c r="Q840" s="1"/>
      <c r="R840" s="1"/>
      <c r="S840" s="1"/>
    </row>
    <row r="841" spans="5:19">
      <c r="E841" s="1"/>
      <c r="F841" s="1"/>
      <c r="G841" s="1"/>
      <c r="H841" s="1"/>
      <c r="I841" s="1"/>
      <c r="J841" s="1"/>
      <c r="K841" s="2"/>
      <c r="L841" s="3"/>
      <c r="M841" s="3"/>
      <c r="N841" s="3"/>
      <c r="O841" s="3"/>
      <c r="P841" s="3"/>
      <c r="Q841" s="1"/>
      <c r="R841" s="1"/>
      <c r="S841" s="1"/>
    </row>
    <row r="842" spans="5:19">
      <c r="E842" s="1"/>
      <c r="F842" s="1"/>
      <c r="G842" s="1"/>
      <c r="H842" s="1"/>
      <c r="I842" s="1"/>
      <c r="J842" s="1"/>
      <c r="K842" s="2"/>
      <c r="L842" s="3"/>
      <c r="M842" s="3"/>
      <c r="N842" s="3"/>
      <c r="O842" s="3"/>
      <c r="P842" s="3"/>
      <c r="Q842" s="1"/>
      <c r="R842" s="1"/>
      <c r="S842" s="1"/>
    </row>
    <row r="843" spans="5:19">
      <c r="E843" s="1"/>
      <c r="F843" s="1"/>
      <c r="G843" s="1"/>
      <c r="H843" s="1"/>
      <c r="I843" s="1"/>
      <c r="J843" s="1"/>
      <c r="K843" s="2"/>
      <c r="L843" s="3"/>
      <c r="M843" s="3"/>
      <c r="N843" s="3"/>
      <c r="O843" s="3"/>
      <c r="P843" s="3"/>
      <c r="Q843" s="1"/>
      <c r="R843" s="1"/>
      <c r="S843" s="1"/>
    </row>
    <row r="844" spans="5:19">
      <c r="E844" s="1"/>
      <c r="F844" s="1"/>
      <c r="G844" s="1"/>
      <c r="H844" s="1"/>
      <c r="I844" s="1"/>
      <c r="J844" s="1"/>
      <c r="K844" s="2"/>
      <c r="L844" s="3"/>
      <c r="M844" s="3"/>
      <c r="N844" s="3"/>
      <c r="O844" s="3"/>
      <c r="P844" s="3"/>
      <c r="Q844" s="1"/>
      <c r="R844" s="1"/>
      <c r="S844" s="1"/>
    </row>
    <row r="845" spans="5:19">
      <c r="E845" s="1"/>
      <c r="F845" s="1"/>
      <c r="G845" s="1"/>
      <c r="H845" s="1"/>
      <c r="I845" s="1"/>
      <c r="J845" s="1"/>
      <c r="K845" s="2"/>
      <c r="L845" s="3"/>
      <c r="M845" s="3"/>
      <c r="N845" s="3"/>
      <c r="O845" s="3"/>
      <c r="P845" s="3"/>
      <c r="Q845" s="1"/>
      <c r="R845" s="1"/>
      <c r="S845" s="1"/>
    </row>
    <row r="846" spans="5:19">
      <c r="E846" s="1"/>
      <c r="F846" s="1"/>
      <c r="G846" s="1"/>
      <c r="H846" s="1"/>
      <c r="I846" s="1"/>
      <c r="J846" s="1"/>
      <c r="K846" s="2"/>
      <c r="L846" s="3"/>
      <c r="M846" s="3"/>
      <c r="N846" s="3"/>
      <c r="O846" s="3"/>
      <c r="P846" s="3"/>
      <c r="Q846" s="1"/>
      <c r="R846" s="1"/>
      <c r="S846" s="1"/>
    </row>
    <row r="847" spans="5:19">
      <c r="E847" s="1"/>
      <c r="F847" s="1"/>
      <c r="G847" s="1"/>
      <c r="H847" s="1"/>
      <c r="I847" s="1"/>
      <c r="J847" s="1"/>
      <c r="K847" s="2"/>
      <c r="L847" s="3"/>
      <c r="M847" s="3"/>
      <c r="N847" s="3"/>
      <c r="O847" s="3"/>
      <c r="P847" s="3"/>
      <c r="Q847" s="1"/>
      <c r="R847" s="1"/>
      <c r="S847" s="1"/>
    </row>
    <row r="848" spans="5:19">
      <c r="E848" s="1"/>
      <c r="F848" s="1"/>
      <c r="G848" s="1"/>
      <c r="H848" s="1"/>
      <c r="I848" s="1"/>
      <c r="J848" s="1"/>
      <c r="K848" s="2"/>
      <c r="L848" s="3"/>
      <c r="M848" s="3"/>
      <c r="N848" s="3"/>
      <c r="O848" s="3"/>
      <c r="P848" s="3"/>
      <c r="Q848" s="1"/>
      <c r="R848" s="1"/>
      <c r="S848" s="1"/>
    </row>
    <row r="849" spans="5:19">
      <c r="E849" s="1"/>
      <c r="F849" s="1"/>
      <c r="G849" s="1"/>
      <c r="H849" s="1"/>
      <c r="I849" s="1"/>
      <c r="J849" s="1"/>
      <c r="K849" s="2"/>
      <c r="L849" s="3"/>
      <c r="M849" s="3"/>
      <c r="N849" s="3"/>
      <c r="O849" s="3"/>
      <c r="P849" s="3"/>
      <c r="Q849" s="1"/>
      <c r="R849" s="1"/>
      <c r="S849" s="1"/>
    </row>
    <row r="850" spans="5:19">
      <c r="E850" s="1"/>
      <c r="F850" s="1"/>
      <c r="G850" s="1"/>
      <c r="H850" s="1"/>
      <c r="I850" s="1"/>
      <c r="J850" s="1"/>
      <c r="K850" s="2"/>
      <c r="L850" s="3"/>
      <c r="M850" s="3"/>
      <c r="N850" s="3"/>
      <c r="O850" s="3"/>
      <c r="P850" s="3"/>
      <c r="Q850" s="1"/>
      <c r="R850" s="1"/>
      <c r="S850" s="1"/>
    </row>
    <row r="851" spans="5:19">
      <c r="E851" s="1"/>
      <c r="F851" s="1"/>
      <c r="G851" s="1"/>
      <c r="H851" s="1"/>
      <c r="I851" s="1"/>
      <c r="J851" s="1"/>
      <c r="K851" s="2"/>
      <c r="L851" s="3"/>
      <c r="M851" s="3"/>
      <c r="N851" s="3"/>
      <c r="O851" s="3"/>
      <c r="P851" s="3"/>
      <c r="Q851" s="1"/>
      <c r="R851" s="1"/>
      <c r="S851" s="1"/>
    </row>
    <row r="852" spans="5:19">
      <c r="E852" s="1"/>
      <c r="F852" s="1"/>
      <c r="G852" s="1"/>
      <c r="H852" s="1"/>
      <c r="I852" s="1"/>
      <c r="J852" s="1"/>
      <c r="K852" s="2"/>
      <c r="L852" s="3"/>
      <c r="M852" s="3"/>
      <c r="N852" s="3"/>
      <c r="O852" s="3"/>
      <c r="P852" s="3"/>
      <c r="Q852" s="1"/>
      <c r="R852" s="1"/>
      <c r="S852" s="1"/>
    </row>
    <row r="853" spans="5:19">
      <c r="E853" s="1"/>
      <c r="F853" s="1"/>
      <c r="G853" s="1"/>
      <c r="H853" s="1"/>
      <c r="I853" s="1"/>
      <c r="J853" s="1"/>
      <c r="K853" s="2"/>
      <c r="L853" s="3"/>
      <c r="M853" s="3"/>
      <c r="N853" s="3"/>
      <c r="O853" s="3"/>
      <c r="P853" s="3"/>
      <c r="Q853" s="1"/>
      <c r="R853" s="1"/>
      <c r="S853" s="1"/>
    </row>
    <row r="854" spans="5:19">
      <c r="E854" s="1"/>
      <c r="F854" s="1"/>
      <c r="G854" s="1"/>
      <c r="H854" s="1"/>
      <c r="I854" s="1"/>
      <c r="J854" s="1"/>
      <c r="K854" s="2"/>
      <c r="L854" s="3"/>
      <c r="M854" s="3"/>
      <c r="N854" s="3"/>
      <c r="O854" s="3"/>
      <c r="P854" s="3"/>
      <c r="Q854" s="1"/>
      <c r="R854" s="1"/>
      <c r="S854" s="1"/>
    </row>
    <row r="855" spans="5:19">
      <c r="E855" s="1"/>
      <c r="F855" s="1"/>
      <c r="G855" s="1"/>
      <c r="H855" s="1"/>
      <c r="I855" s="1"/>
      <c r="J855" s="1"/>
      <c r="K855" s="2"/>
      <c r="L855" s="3"/>
      <c r="M855" s="3"/>
      <c r="N855" s="3"/>
      <c r="O855" s="3"/>
      <c r="P855" s="3"/>
      <c r="Q855" s="1"/>
      <c r="R855" s="1"/>
      <c r="S855" s="1"/>
    </row>
    <row r="856" spans="5:19">
      <c r="E856" s="1"/>
      <c r="F856" s="1"/>
      <c r="G856" s="1"/>
      <c r="H856" s="1"/>
      <c r="I856" s="1"/>
      <c r="J856" s="1"/>
      <c r="K856" s="2"/>
      <c r="L856" s="3"/>
      <c r="M856" s="3"/>
      <c r="N856" s="3"/>
      <c r="O856" s="3"/>
      <c r="P856" s="3"/>
      <c r="Q856" s="1"/>
      <c r="R856" s="1"/>
      <c r="S856" s="1"/>
    </row>
    <row r="857" spans="5:19">
      <c r="E857" s="1"/>
      <c r="F857" s="1"/>
      <c r="G857" s="1"/>
      <c r="H857" s="1"/>
      <c r="I857" s="1"/>
      <c r="J857" s="1"/>
      <c r="K857" s="2"/>
      <c r="L857" s="3"/>
      <c r="M857" s="3"/>
      <c r="N857" s="3"/>
      <c r="O857" s="3"/>
      <c r="P857" s="3"/>
      <c r="Q857" s="1"/>
      <c r="R857" s="1"/>
      <c r="S857" s="1"/>
    </row>
    <row r="858" spans="5:19">
      <c r="E858" s="1"/>
      <c r="F858" s="1"/>
      <c r="G858" s="1"/>
      <c r="H858" s="1"/>
      <c r="I858" s="1"/>
      <c r="J858" s="1"/>
      <c r="K858" s="2"/>
      <c r="L858" s="3"/>
      <c r="M858" s="3"/>
      <c r="N858" s="3"/>
      <c r="O858" s="3"/>
      <c r="P858" s="3"/>
      <c r="Q858" s="1"/>
      <c r="R858" s="1"/>
      <c r="S858" s="1"/>
    </row>
    <row r="859" spans="5:19">
      <c r="E859" s="1"/>
      <c r="F859" s="1"/>
      <c r="G859" s="1"/>
      <c r="H859" s="1"/>
      <c r="I859" s="1"/>
      <c r="J859" s="1"/>
      <c r="K859" s="2"/>
      <c r="L859" s="3"/>
      <c r="M859" s="3"/>
      <c r="N859" s="3"/>
      <c r="O859" s="3"/>
      <c r="P859" s="3"/>
      <c r="Q859" s="1"/>
      <c r="R859" s="1"/>
      <c r="S859" s="1"/>
    </row>
    <row r="860" spans="5:19">
      <c r="E860" s="1"/>
      <c r="F860" s="1"/>
      <c r="G860" s="1"/>
      <c r="H860" s="1"/>
      <c r="I860" s="1"/>
      <c r="J860" s="1"/>
      <c r="K860" s="2"/>
      <c r="L860" s="3"/>
      <c r="M860" s="3"/>
      <c r="N860" s="3"/>
      <c r="O860" s="3"/>
      <c r="P860" s="3"/>
      <c r="Q860" s="1"/>
      <c r="R860" s="1"/>
      <c r="S860" s="1"/>
    </row>
    <row r="861" spans="5:19">
      <c r="E861" s="1"/>
      <c r="F861" s="1"/>
      <c r="G861" s="1"/>
      <c r="H861" s="1"/>
      <c r="I861" s="1"/>
      <c r="J861" s="1"/>
      <c r="K861" s="2"/>
      <c r="L861" s="3"/>
      <c r="M861" s="3"/>
      <c r="N861" s="3"/>
      <c r="O861" s="3"/>
      <c r="P861" s="3"/>
      <c r="Q861" s="1"/>
      <c r="R861" s="1"/>
      <c r="S861" s="1"/>
    </row>
    <row r="862" spans="5:19">
      <c r="E862" s="1"/>
      <c r="F862" s="1"/>
      <c r="G862" s="1"/>
      <c r="H862" s="1"/>
      <c r="I862" s="1"/>
      <c r="J862" s="1"/>
      <c r="K862" s="2"/>
      <c r="L862" s="3"/>
      <c r="M862" s="3"/>
      <c r="N862" s="3"/>
      <c r="O862" s="3"/>
      <c r="P862" s="3"/>
      <c r="Q862" s="1"/>
      <c r="R862" s="1"/>
      <c r="S862" s="1"/>
    </row>
    <row r="863" spans="5:19">
      <c r="E863" s="1"/>
      <c r="F863" s="1"/>
      <c r="G863" s="1"/>
      <c r="H863" s="1"/>
      <c r="I863" s="1"/>
      <c r="J863" s="1"/>
      <c r="K863" s="2"/>
      <c r="L863" s="3"/>
      <c r="M863" s="3"/>
      <c r="N863" s="3"/>
      <c r="O863" s="3"/>
      <c r="P863" s="3"/>
      <c r="Q863" s="1"/>
      <c r="R863" s="1"/>
      <c r="S863" s="1"/>
    </row>
    <row r="864" spans="5:19">
      <c r="E864" s="1"/>
      <c r="F864" s="1"/>
      <c r="G864" s="1"/>
      <c r="H864" s="1"/>
      <c r="I864" s="1"/>
      <c r="J864" s="1"/>
      <c r="K864" s="2"/>
      <c r="L864" s="3"/>
      <c r="M864" s="3"/>
      <c r="N864" s="3"/>
      <c r="O864" s="3"/>
      <c r="P864" s="3"/>
      <c r="Q864" s="1"/>
      <c r="R864" s="1"/>
      <c r="S864" s="1"/>
    </row>
    <row r="865" spans="5:19">
      <c r="E865" s="1"/>
      <c r="F865" s="1"/>
      <c r="G865" s="1"/>
      <c r="H865" s="1"/>
      <c r="I865" s="1"/>
      <c r="J865" s="1"/>
      <c r="K865" s="2"/>
      <c r="L865" s="3"/>
      <c r="M865" s="3"/>
      <c r="N865" s="3"/>
      <c r="O865" s="3"/>
      <c r="P865" s="3"/>
      <c r="Q865" s="1"/>
      <c r="R865" s="1"/>
      <c r="S865" s="1"/>
    </row>
    <row r="866" spans="5:19">
      <c r="E866" s="1"/>
      <c r="F866" s="1"/>
      <c r="G866" s="1"/>
      <c r="H866" s="1"/>
      <c r="I866" s="1"/>
      <c r="J866" s="1"/>
      <c r="K866" s="2"/>
      <c r="L866" s="3"/>
      <c r="M866" s="3"/>
      <c r="N866" s="3"/>
      <c r="O866" s="3"/>
      <c r="P866" s="3"/>
      <c r="Q866" s="1"/>
      <c r="R866" s="1"/>
      <c r="S866" s="1"/>
    </row>
    <row r="867" spans="5:19">
      <c r="E867" s="1"/>
      <c r="F867" s="1"/>
      <c r="G867" s="1"/>
      <c r="H867" s="1"/>
      <c r="I867" s="1"/>
      <c r="J867" s="1"/>
      <c r="K867" s="2"/>
      <c r="L867" s="3"/>
      <c r="M867" s="3"/>
      <c r="N867" s="3"/>
      <c r="O867" s="3"/>
      <c r="P867" s="3"/>
      <c r="Q867" s="1"/>
      <c r="R867" s="1"/>
      <c r="S867" s="1"/>
    </row>
    <row r="868" spans="5:19">
      <c r="E868" s="1"/>
      <c r="F868" s="1"/>
      <c r="G868" s="1"/>
      <c r="H868" s="1"/>
      <c r="I868" s="1"/>
      <c r="J868" s="1"/>
      <c r="K868" s="2"/>
      <c r="L868" s="3"/>
      <c r="M868" s="3"/>
      <c r="N868" s="3"/>
      <c r="O868" s="3"/>
      <c r="P868" s="3"/>
      <c r="Q868" s="1"/>
      <c r="R868" s="1"/>
      <c r="S868" s="1"/>
    </row>
    <row r="869" spans="5:19">
      <c r="E869" s="1"/>
      <c r="F869" s="1"/>
      <c r="G869" s="1"/>
      <c r="H869" s="1"/>
      <c r="I869" s="1"/>
      <c r="J869" s="1"/>
      <c r="K869" s="2"/>
      <c r="L869" s="3"/>
      <c r="M869" s="3"/>
      <c r="N869" s="3"/>
      <c r="O869" s="3"/>
      <c r="P869" s="3"/>
      <c r="Q869" s="1"/>
      <c r="R869" s="1"/>
      <c r="S869" s="1"/>
    </row>
    <row r="870" spans="5:19">
      <c r="E870" s="1"/>
      <c r="F870" s="1"/>
      <c r="G870" s="1"/>
      <c r="H870" s="1"/>
      <c r="I870" s="1"/>
      <c r="J870" s="1"/>
      <c r="K870" s="2"/>
      <c r="L870" s="3"/>
      <c r="M870" s="3"/>
      <c r="N870" s="3"/>
      <c r="O870" s="3"/>
      <c r="P870" s="3"/>
      <c r="Q870" s="1"/>
      <c r="R870" s="1"/>
      <c r="S870" s="1"/>
    </row>
    <row r="871" spans="5:19">
      <c r="E871" s="1"/>
      <c r="F871" s="1"/>
      <c r="G871" s="1"/>
      <c r="H871" s="1"/>
      <c r="I871" s="1"/>
      <c r="J871" s="1"/>
      <c r="K871" s="2"/>
      <c r="L871" s="3"/>
      <c r="M871" s="3"/>
      <c r="N871" s="3"/>
      <c r="O871" s="3"/>
      <c r="P871" s="3"/>
      <c r="Q871" s="1"/>
      <c r="R871" s="1"/>
      <c r="S871" s="1"/>
    </row>
    <row r="872" spans="5:19">
      <c r="E872" s="1"/>
      <c r="F872" s="1"/>
      <c r="G872" s="1"/>
      <c r="H872" s="1"/>
      <c r="I872" s="1"/>
      <c r="J872" s="1"/>
      <c r="K872" s="2"/>
      <c r="L872" s="3"/>
      <c r="M872" s="3"/>
      <c r="N872" s="3"/>
      <c r="O872" s="3"/>
      <c r="P872" s="3"/>
      <c r="Q872" s="1"/>
      <c r="R872" s="1"/>
      <c r="S872" s="1"/>
    </row>
    <row r="873" spans="5:19">
      <c r="E873" s="1"/>
      <c r="F873" s="1"/>
      <c r="G873" s="1"/>
      <c r="H873" s="1"/>
      <c r="I873" s="1"/>
      <c r="J873" s="1"/>
      <c r="K873" s="2"/>
      <c r="L873" s="3"/>
      <c r="M873" s="3"/>
      <c r="N873" s="3"/>
      <c r="O873" s="3"/>
      <c r="P873" s="3"/>
      <c r="Q873" s="1"/>
      <c r="R873" s="1"/>
      <c r="S873" s="1"/>
    </row>
    <row r="874" spans="5:19">
      <c r="E874" s="1"/>
      <c r="F874" s="1"/>
      <c r="G874" s="1"/>
      <c r="H874" s="1"/>
      <c r="I874" s="1"/>
      <c r="J874" s="1"/>
      <c r="K874" s="2"/>
      <c r="L874" s="3"/>
      <c r="M874" s="3"/>
      <c r="N874" s="3"/>
      <c r="O874" s="3"/>
      <c r="P874" s="3"/>
      <c r="Q874" s="1"/>
      <c r="R874" s="1"/>
      <c r="S874" s="1"/>
    </row>
    <row r="875" spans="5:19">
      <c r="E875" s="1"/>
      <c r="F875" s="1"/>
      <c r="G875" s="1"/>
      <c r="H875" s="1"/>
      <c r="I875" s="1"/>
      <c r="J875" s="1"/>
      <c r="K875" s="2"/>
      <c r="L875" s="3"/>
      <c r="M875" s="3"/>
      <c r="N875" s="3"/>
      <c r="O875" s="3"/>
      <c r="P875" s="3"/>
      <c r="Q875" s="1"/>
      <c r="R875" s="1"/>
      <c r="S875" s="1"/>
    </row>
    <row r="876" spans="5:19">
      <c r="E876" s="1"/>
      <c r="F876" s="1"/>
      <c r="G876" s="1"/>
      <c r="H876" s="1"/>
      <c r="I876" s="1"/>
      <c r="J876" s="1"/>
      <c r="K876" s="2"/>
      <c r="L876" s="3"/>
      <c r="M876" s="3"/>
      <c r="N876" s="3"/>
      <c r="O876" s="3"/>
      <c r="P876" s="3"/>
      <c r="Q876" s="1"/>
      <c r="R876" s="1"/>
      <c r="S876" s="1"/>
    </row>
    <row r="877" spans="5:19">
      <c r="E877" s="1"/>
      <c r="F877" s="1"/>
      <c r="G877" s="1"/>
      <c r="H877" s="1"/>
      <c r="I877" s="1"/>
      <c r="J877" s="1"/>
      <c r="K877" s="2"/>
      <c r="L877" s="3"/>
      <c r="M877" s="3"/>
      <c r="N877" s="3"/>
      <c r="O877" s="3"/>
      <c r="P877" s="3"/>
      <c r="Q877" s="1"/>
      <c r="R877" s="1"/>
      <c r="S877" s="1"/>
    </row>
    <row r="878" spans="5:19">
      <c r="E878" s="1"/>
      <c r="F878" s="1"/>
      <c r="G878" s="1"/>
      <c r="H878" s="1"/>
      <c r="I878" s="1"/>
      <c r="J878" s="1"/>
      <c r="K878" s="2"/>
      <c r="L878" s="3"/>
      <c r="M878" s="3"/>
      <c r="N878" s="3"/>
      <c r="O878" s="3"/>
      <c r="P878" s="3"/>
      <c r="Q878" s="1"/>
      <c r="R878" s="1"/>
      <c r="S878" s="1"/>
    </row>
    <row r="879" spans="5:19">
      <c r="E879" s="1"/>
      <c r="F879" s="1"/>
      <c r="G879" s="1"/>
      <c r="H879" s="1"/>
      <c r="I879" s="1"/>
      <c r="J879" s="1"/>
      <c r="K879" s="2"/>
      <c r="L879" s="3"/>
      <c r="M879" s="3"/>
      <c r="N879" s="3"/>
      <c r="O879" s="3"/>
      <c r="P879" s="3"/>
      <c r="Q879" s="1"/>
      <c r="R879" s="1"/>
      <c r="S879" s="1"/>
    </row>
    <row r="880" spans="5:19">
      <c r="E880" s="1"/>
      <c r="F880" s="1"/>
      <c r="G880" s="1"/>
      <c r="H880" s="1"/>
      <c r="I880" s="1"/>
      <c r="J880" s="1"/>
      <c r="K880" s="2"/>
      <c r="L880" s="3"/>
      <c r="M880" s="3"/>
      <c r="N880" s="3"/>
      <c r="O880" s="3"/>
      <c r="P880" s="3"/>
      <c r="Q880" s="1"/>
      <c r="R880" s="1"/>
      <c r="S880" s="1"/>
    </row>
    <row r="881" spans="5:19">
      <c r="E881" s="1"/>
      <c r="F881" s="1"/>
      <c r="G881" s="1"/>
      <c r="H881" s="1"/>
      <c r="I881" s="1"/>
      <c r="J881" s="1"/>
      <c r="K881" s="2"/>
      <c r="L881" s="3"/>
      <c r="M881" s="3"/>
      <c r="N881" s="3"/>
      <c r="O881" s="3"/>
      <c r="P881" s="3"/>
      <c r="Q881" s="1"/>
      <c r="R881" s="1"/>
      <c r="S881" s="1"/>
    </row>
    <row r="882" spans="5:19">
      <c r="E882" s="1"/>
      <c r="F882" s="1"/>
      <c r="G882" s="1"/>
      <c r="H882" s="1"/>
      <c r="I882" s="1"/>
      <c r="J882" s="1"/>
      <c r="K882" s="2"/>
      <c r="L882" s="3"/>
      <c r="M882" s="3"/>
      <c r="N882" s="3"/>
      <c r="O882" s="3"/>
      <c r="P882" s="3"/>
      <c r="Q882" s="1"/>
      <c r="R882" s="1"/>
      <c r="S882" s="1"/>
    </row>
    <row r="883" spans="5:19">
      <c r="E883" s="1"/>
      <c r="F883" s="1"/>
      <c r="G883" s="1"/>
      <c r="H883" s="1"/>
      <c r="I883" s="1"/>
      <c r="J883" s="1"/>
      <c r="K883" s="2"/>
      <c r="L883" s="3"/>
      <c r="M883" s="3"/>
      <c r="N883" s="3"/>
      <c r="O883" s="3"/>
      <c r="P883" s="3"/>
      <c r="Q883" s="1"/>
      <c r="R883" s="1"/>
      <c r="S883" s="1"/>
    </row>
    <row r="884" spans="5:19">
      <c r="E884" s="1"/>
      <c r="F884" s="1"/>
      <c r="G884" s="1"/>
      <c r="H884" s="1"/>
      <c r="I884" s="1"/>
      <c r="J884" s="1"/>
      <c r="K884" s="2"/>
      <c r="L884" s="3"/>
      <c r="M884" s="3"/>
      <c r="N884" s="3"/>
      <c r="O884" s="3"/>
      <c r="P884" s="3"/>
      <c r="Q884" s="1"/>
      <c r="R884" s="1"/>
      <c r="S884" s="1"/>
    </row>
    <row r="885" spans="5:19">
      <c r="E885" s="1"/>
      <c r="F885" s="1"/>
      <c r="G885" s="1"/>
      <c r="H885" s="1"/>
      <c r="I885" s="1"/>
      <c r="J885" s="1"/>
      <c r="K885" s="2"/>
      <c r="L885" s="3"/>
      <c r="M885" s="3"/>
      <c r="N885" s="3"/>
      <c r="O885" s="3"/>
      <c r="P885" s="3"/>
      <c r="Q885" s="1"/>
      <c r="R885" s="1"/>
      <c r="S885" s="1"/>
    </row>
    <row r="886" spans="5:19">
      <c r="E886" s="1"/>
      <c r="F886" s="1"/>
      <c r="G886" s="1"/>
      <c r="H886" s="1"/>
      <c r="I886" s="1"/>
      <c r="J886" s="1"/>
      <c r="K886" s="2"/>
      <c r="L886" s="3"/>
      <c r="M886" s="3"/>
      <c r="N886" s="3"/>
      <c r="O886" s="3"/>
      <c r="P886" s="3"/>
      <c r="Q886" s="1"/>
      <c r="R886" s="1"/>
      <c r="S886" s="1"/>
    </row>
    <row r="887" spans="5:19">
      <c r="E887" s="1"/>
      <c r="F887" s="1"/>
      <c r="G887" s="1"/>
      <c r="H887" s="1"/>
      <c r="I887" s="1"/>
      <c r="J887" s="1"/>
      <c r="K887" s="2"/>
      <c r="L887" s="3"/>
      <c r="M887" s="3"/>
      <c r="N887" s="3"/>
      <c r="O887" s="3"/>
      <c r="P887" s="3"/>
      <c r="Q887" s="1"/>
      <c r="R887" s="1"/>
      <c r="S887" s="1"/>
    </row>
    <row r="888" spans="5:19">
      <c r="E888" s="1"/>
      <c r="F888" s="1"/>
      <c r="G888" s="1"/>
      <c r="H888" s="1"/>
      <c r="I888" s="1"/>
      <c r="J888" s="1"/>
      <c r="K888" s="2"/>
      <c r="L888" s="3"/>
      <c r="M888" s="3"/>
      <c r="N888" s="3"/>
      <c r="O888" s="3"/>
      <c r="P888" s="3"/>
      <c r="Q888" s="1"/>
      <c r="R888" s="1"/>
      <c r="S888" s="1"/>
    </row>
    <row r="889" spans="5:19">
      <c r="E889" s="1"/>
      <c r="F889" s="1"/>
      <c r="G889" s="1"/>
      <c r="H889" s="1"/>
      <c r="I889" s="1"/>
      <c r="J889" s="1"/>
      <c r="K889" s="2"/>
      <c r="L889" s="3"/>
      <c r="M889" s="3"/>
      <c r="N889" s="3"/>
      <c r="O889" s="3"/>
      <c r="P889" s="3"/>
      <c r="Q889" s="1"/>
      <c r="R889" s="1"/>
      <c r="S889" s="1"/>
    </row>
    <row r="890" spans="5:19">
      <c r="E890" s="1"/>
      <c r="F890" s="1"/>
      <c r="G890" s="1"/>
      <c r="H890" s="1"/>
      <c r="I890" s="1"/>
      <c r="J890" s="1"/>
      <c r="K890" s="2"/>
      <c r="L890" s="3"/>
      <c r="M890" s="3"/>
      <c r="N890" s="3"/>
      <c r="O890" s="3"/>
      <c r="P890" s="3"/>
      <c r="Q890" s="1"/>
      <c r="R890" s="1"/>
      <c r="S890" s="1"/>
    </row>
    <row r="891" spans="5:19">
      <c r="E891" s="1"/>
      <c r="F891" s="1"/>
      <c r="G891" s="1"/>
      <c r="H891" s="1"/>
      <c r="I891" s="1"/>
      <c r="J891" s="1"/>
      <c r="K891" s="2"/>
      <c r="L891" s="3"/>
      <c r="M891" s="3"/>
      <c r="N891" s="3"/>
      <c r="O891" s="3"/>
      <c r="P891" s="3"/>
      <c r="Q891" s="1"/>
      <c r="R891" s="1"/>
      <c r="S891" s="1"/>
    </row>
    <row r="892" spans="5:19">
      <c r="E892" s="1"/>
      <c r="F892" s="1"/>
      <c r="G892" s="1"/>
      <c r="H892" s="1"/>
      <c r="I892" s="1"/>
      <c r="J892" s="1"/>
      <c r="K892" s="2"/>
      <c r="L892" s="3"/>
      <c r="M892" s="3"/>
      <c r="N892" s="3"/>
      <c r="O892" s="3"/>
      <c r="P892" s="3"/>
      <c r="Q892" s="1"/>
      <c r="R892" s="1"/>
      <c r="S892" s="1"/>
    </row>
    <row r="893" spans="5:19">
      <c r="E893" s="1"/>
      <c r="F893" s="1"/>
      <c r="G893" s="1"/>
      <c r="H893" s="1"/>
      <c r="I893" s="1"/>
      <c r="J893" s="1"/>
      <c r="K893" s="2"/>
      <c r="L893" s="3"/>
      <c r="M893" s="3"/>
      <c r="N893" s="3"/>
      <c r="O893" s="3"/>
      <c r="P893" s="3"/>
      <c r="Q893" s="1"/>
      <c r="R893" s="1"/>
      <c r="S893" s="1"/>
    </row>
    <row r="894" spans="5:19">
      <c r="E894" s="1"/>
      <c r="F894" s="1"/>
      <c r="G894" s="1"/>
      <c r="H894" s="1"/>
      <c r="I894" s="1"/>
      <c r="J894" s="1"/>
      <c r="K894" s="2"/>
      <c r="L894" s="3"/>
      <c r="M894" s="3"/>
      <c r="N894" s="3"/>
      <c r="O894" s="3"/>
      <c r="P894" s="3"/>
      <c r="Q894" s="1"/>
      <c r="R894" s="1"/>
      <c r="S894" s="1"/>
    </row>
    <row r="895" spans="5:19">
      <c r="E895" s="1"/>
      <c r="F895" s="1"/>
      <c r="G895" s="1"/>
      <c r="H895" s="1"/>
      <c r="I895" s="1"/>
      <c r="J895" s="1"/>
      <c r="K895" s="2"/>
      <c r="L895" s="3"/>
      <c r="M895" s="3"/>
      <c r="N895" s="3"/>
      <c r="O895" s="3"/>
      <c r="P895" s="3"/>
      <c r="Q895" s="1"/>
      <c r="R895" s="1"/>
      <c r="S895" s="1"/>
    </row>
    <row r="896" spans="5:19">
      <c r="E896" s="1"/>
      <c r="F896" s="1"/>
      <c r="G896" s="1"/>
      <c r="H896" s="1"/>
      <c r="I896" s="1"/>
      <c r="J896" s="1"/>
      <c r="K896" s="2"/>
      <c r="L896" s="3"/>
      <c r="M896" s="3"/>
      <c r="N896" s="3"/>
      <c r="O896" s="3"/>
      <c r="P896" s="3"/>
      <c r="Q896" s="1"/>
      <c r="R896" s="1"/>
      <c r="S896" s="1"/>
    </row>
    <row r="897" spans="5:19">
      <c r="E897" s="1"/>
      <c r="F897" s="1"/>
      <c r="G897" s="1"/>
      <c r="H897" s="1"/>
      <c r="I897" s="1"/>
      <c r="J897" s="1"/>
      <c r="K897" s="2"/>
      <c r="L897" s="3"/>
      <c r="M897" s="3"/>
      <c r="N897" s="3"/>
      <c r="O897" s="3"/>
      <c r="P897" s="3"/>
      <c r="Q897" s="1"/>
      <c r="R897" s="1"/>
      <c r="S897" s="1"/>
    </row>
    <row r="898" spans="5:19">
      <c r="E898" s="1"/>
      <c r="F898" s="1"/>
      <c r="G898" s="1"/>
      <c r="H898" s="1"/>
      <c r="I898" s="1"/>
      <c r="J898" s="1"/>
      <c r="K898" s="2"/>
      <c r="L898" s="3"/>
      <c r="M898" s="3"/>
      <c r="N898" s="3"/>
      <c r="O898" s="3"/>
      <c r="P898" s="3"/>
      <c r="Q898" s="1"/>
      <c r="R898" s="1"/>
      <c r="S898" s="1"/>
    </row>
    <row r="899" spans="5:19">
      <c r="E899" s="1"/>
      <c r="F899" s="1"/>
      <c r="G899" s="1"/>
      <c r="H899" s="1"/>
      <c r="I899" s="1"/>
      <c r="J899" s="1"/>
      <c r="K899" s="2"/>
      <c r="L899" s="3"/>
      <c r="M899" s="3"/>
      <c r="N899" s="3"/>
      <c r="O899" s="3"/>
      <c r="P899" s="3"/>
      <c r="Q899" s="1"/>
      <c r="R899" s="1"/>
      <c r="S899" s="1"/>
    </row>
    <row r="900" spans="5:19">
      <c r="E900" s="1"/>
      <c r="F900" s="1"/>
      <c r="G900" s="1"/>
      <c r="H900" s="1"/>
      <c r="I900" s="1"/>
      <c r="J900" s="1"/>
      <c r="K900" s="2"/>
      <c r="L900" s="3"/>
      <c r="M900" s="3"/>
      <c r="N900" s="3"/>
      <c r="O900" s="3"/>
      <c r="P900" s="3"/>
      <c r="Q900" s="1"/>
      <c r="R900" s="1"/>
      <c r="S900" s="1"/>
    </row>
    <row r="901" spans="5:19">
      <c r="E901" s="1"/>
      <c r="F901" s="1"/>
      <c r="G901" s="1"/>
      <c r="H901" s="1"/>
      <c r="I901" s="1"/>
      <c r="J901" s="1"/>
      <c r="K901" s="2"/>
      <c r="L901" s="3"/>
      <c r="M901" s="3"/>
      <c r="N901" s="3"/>
      <c r="O901" s="3"/>
      <c r="P901" s="3"/>
      <c r="Q901" s="1"/>
      <c r="R901" s="1"/>
      <c r="S901" s="1"/>
    </row>
    <row r="902" spans="5:19">
      <c r="E902" s="1"/>
      <c r="F902" s="1"/>
      <c r="G902" s="1"/>
      <c r="H902" s="1"/>
      <c r="I902" s="1"/>
      <c r="J902" s="1"/>
      <c r="K902" s="2"/>
      <c r="L902" s="3"/>
      <c r="M902" s="3"/>
      <c r="N902" s="3"/>
      <c r="O902" s="3"/>
      <c r="P902" s="3"/>
      <c r="Q902" s="1"/>
      <c r="R902" s="1"/>
      <c r="S902" s="1"/>
    </row>
    <row r="903" spans="5:19">
      <c r="E903" s="1"/>
      <c r="F903" s="1"/>
      <c r="G903" s="1"/>
      <c r="H903" s="1"/>
      <c r="I903" s="1"/>
      <c r="J903" s="1"/>
      <c r="K903" s="2"/>
      <c r="L903" s="3"/>
      <c r="M903" s="3"/>
      <c r="N903" s="3"/>
      <c r="O903" s="3"/>
      <c r="P903" s="3"/>
      <c r="Q903" s="1"/>
      <c r="R903" s="1"/>
      <c r="S903" s="1"/>
    </row>
    <row r="904" spans="5:19">
      <c r="E904" s="1"/>
      <c r="F904" s="1"/>
      <c r="G904" s="1"/>
      <c r="H904" s="1"/>
      <c r="I904" s="1"/>
      <c r="J904" s="1"/>
      <c r="K904" s="2"/>
      <c r="L904" s="3"/>
      <c r="M904" s="3"/>
      <c r="N904" s="3"/>
      <c r="O904" s="3"/>
      <c r="P904" s="3"/>
      <c r="Q904" s="1"/>
      <c r="R904" s="1"/>
      <c r="S904" s="1"/>
    </row>
    <row r="905" spans="5:19">
      <c r="E905" s="1"/>
      <c r="F905" s="1"/>
      <c r="G905" s="1"/>
      <c r="H905" s="1"/>
      <c r="I905" s="1"/>
      <c r="J905" s="1"/>
      <c r="K905" s="2"/>
      <c r="L905" s="3"/>
      <c r="M905" s="3"/>
      <c r="N905" s="3"/>
      <c r="O905" s="3"/>
      <c r="P905" s="3"/>
      <c r="Q905" s="1"/>
      <c r="R905" s="1"/>
      <c r="S905" s="1"/>
    </row>
    <row r="906" spans="5:19">
      <c r="E906" s="1"/>
      <c r="F906" s="1"/>
      <c r="G906" s="1"/>
      <c r="H906" s="1"/>
      <c r="I906" s="1"/>
      <c r="J906" s="1"/>
      <c r="K906" s="2"/>
      <c r="L906" s="3"/>
      <c r="M906" s="3"/>
      <c r="N906" s="3"/>
      <c r="O906" s="3"/>
      <c r="P906" s="3"/>
      <c r="Q906" s="1"/>
      <c r="R906" s="1"/>
      <c r="S906" s="1"/>
    </row>
    <row r="907" spans="5:19">
      <c r="E907" s="1"/>
      <c r="F907" s="1"/>
      <c r="G907" s="1"/>
      <c r="H907" s="1"/>
      <c r="I907" s="1"/>
      <c r="J907" s="1"/>
      <c r="K907" s="2"/>
      <c r="L907" s="3"/>
      <c r="M907" s="3"/>
      <c r="N907" s="3"/>
      <c r="O907" s="3"/>
      <c r="P907" s="3"/>
      <c r="Q907" s="1"/>
      <c r="R907" s="1"/>
      <c r="S907" s="1"/>
    </row>
    <row r="908" spans="5:19">
      <c r="E908" s="1"/>
      <c r="F908" s="1"/>
      <c r="G908" s="1"/>
      <c r="H908" s="1"/>
      <c r="I908" s="1"/>
      <c r="J908" s="1"/>
      <c r="K908" s="2"/>
      <c r="L908" s="3"/>
      <c r="M908" s="3"/>
      <c r="N908" s="3"/>
      <c r="O908" s="3"/>
      <c r="P908" s="3"/>
      <c r="Q908" s="1"/>
      <c r="R908" s="1"/>
      <c r="S908" s="1"/>
    </row>
    <row r="909" spans="5:19">
      <c r="E909" s="1"/>
      <c r="F909" s="1"/>
      <c r="G909" s="1"/>
      <c r="H909" s="1"/>
      <c r="I909" s="1"/>
      <c r="J909" s="1"/>
      <c r="K909" s="2"/>
      <c r="L909" s="3"/>
      <c r="M909" s="3"/>
      <c r="N909" s="3"/>
      <c r="O909" s="3"/>
      <c r="P909" s="3"/>
      <c r="Q909" s="1"/>
      <c r="R909" s="1"/>
      <c r="S909" s="1"/>
    </row>
    <row r="910" spans="5:19">
      <c r="E910" s="1"/>
      <c r="F910" s="1"/>
      <c r="G910" s="1"/>
      <c r="H910" s="1"/>
      <c r="I910" s="1"/>
      <c r="J910" s="1"/>
      <c r="K910" s="2"/>
      <c r="L910" s="3"/>
      <c r="M910" s="3"/>
      <c r="N910" s="3"/>
      <c r="O910" s="3"/>
      <c r="P910" s="3"/>
      <c r="Q910" s="1"/>
      <c r="R910" s="1"/>
      <c r="S910" s="1"/>
    </row>
    <row r="911" spans="5:19">
      <c r="E911" s="1"/>
      <c r="F911" s="1"/>
      <c r="G911" s="1"/>
      <c r="H911" s="1"/>
      <c r="I911" s="1"/>
      <c r="J911" s="1"/>
      <c r="K911" s="2"/>
      <c r="L911" s="3"/>
      <c r="M911" s="3"/>
      <c r="N911" s="3"/>
      <c r="O911" s="3"/>
      <c r="P911" s="3"/>
      <c r="Q911" s="1"/>
      <c r="R911" s="1"/>
      <c r="S911" s="1"/>
    </row>
    <row r="912" spans="5:19">
      <c r="E912" s="1"/>
      <c r="F912" s="1"/>
      <c r="G912" s="1"/>
      <c r="H912" s="1"/>
      <c r="I912" s="1"/>
      <c r="J912" s="1"/>
      <c r="K912" s="2"/>
      <c r="L912" s="3"/>
      <c r="M912" s="3"/>
      <c r="N912" s="3"/>
      <c r="O912" s="3"/>
      <c r="P912" s="3"/>
      <c r="Q912" s="1"/>
      <c r="R912" s="1"/>
      <c r="S912" s="1"/>
    </row>
    <row r="913" spans="5:19">
      <c r="E913" s="1"/>
      <c r="F913" s="1"/>
      <c r="G913" s="1"/>
      <c r="H913" s="1"/>
      <c r="I913" s="1"/>
      <c r="J913" s="1"/>
      <c r="K913" s="2"/>
      <c r="L913" s="3"/>
      <c r="M913" s="3"/>
      <c r="N913" s="3"/>
      <c r="O913" s="3"/>
      <c r="P913" s="3"/>
      <c r="Q913" s="1"/>
      <c r="R913" s="1"/>
      <c r="S913" s="1"/>
    </row>
    <row r="914" spans="5:19">
      <c r="E914" s="1"/>
      <c r="F914" s="1"/>
      <c r="G914" s="1"/>
      <c r="H914" s="1"/>
      <c r="I914" s="1"/>
      <c r="J914" s="1"/>
      <c r="K914" s="2"/>
      <c r="L914" s="3"/>
      <c r="M914" s="3"/>
      <c r="N914" s="3"/>
      <c r="O914" s="3"/>
      <c r="P914" s="3"/>
      <c r="Q914" s="1"/>
      <c r="R914" s="1"/>
      <c r="S914" s="1"/>
    </row>
    <row r="915" spans="5:19">
      <c r="E915" s="1"/>
      <c r="F915" s="1"/>
      <c r="G915" s="1"/>
      <c r="H915" s="1"/>
      <c r="I915" s="1"/>
      <c r="J915" s="1"/>
      <c r="K915" s="2"/>
      <c r="L915" s="3"/>
      <c r="M915" s="3"/>
      <c r="N915" s="3"/>
      <c r="O915" s="3"/>
      <c r="P915" s="3"/>
      <c r="Q915" s="1"/>
      <c r="R915" s="1"/>
      <c r="S915" s="1"/>
    </row>
    <row r="916" spans="5:19">
      <c r="E916" s="1"/>
      <c r="F916" s="1"/>
      <c r="G916" s="1"/>
      <c r="H916" s="1"/>
      <c r="I916" s="1"/>
      <c r="J916" s="1"/>
      <c r="K916" s="2"/>
      <c r="L916" s="3"/>
      <c r="M916" s="3"/>
      <c r="N916" s="3"/>
      <c r="O916" s="3"/>
      <c r="P916" s="3"/>
      <c r="Q916" s="1"/>
      <c r="R916" s="1"/>
      <c r="S916" s="1"/>
    </row>
    <row r="917" spans="5:19">
      <c r="E917" s="1"/>
      <c r="F917" s="1"/>
      <c r="G917" s="1"/>
      <c r="H917" s="1"/>
      <c r="I917" s="1"/>
      <c r="J917" s="1"/>
      <c r="K917" s="2"/>
      <c r="L917" s="3"/>
      <c r="M917" s="3"/>
      <c r="N917" s="3"/>
      <c r="O917" s="3"/>
      <c r="P917" s="3"/>
      <c r="Q917" s="1"/>
      <c r="R917" s="1"/>
      <c r="S917" s="1"/>
    </row>
    <row r="918" spans="5:19">
      <c r="E918" s="1"/>
      <c r="F918" s="1"/>
      <c r="G918" s="1"/>
      <c r="H918" s="1"/>
      <c r="I918" s="1"/>
      <c r="J918" s="1"/>
      <c r="K918" s="2"/>
      <c r="L918" s="3"/>
      <c r="M918" s="3"/>
      <c r="N918" s="3"/>
      <c r="O918" s="3"/>
      <c r="P918" s="3"/>
      <c r="Q918" s="1"/>
      <c r="R918" s="1"/>
      <c r="S918" s="1"/>
    </row>
    <row r="919" spans="5:19">
      <c r="E919" s="1"/>
      <c r="F919" s="1"/>
      <c r="G919" s="1"/>
      <c r="H919" s="1"/>
      <c r="I919" s="1"/>
      <c r="J919" s="1"/>
      <c r="K919" s="2"/>
      <c r="L919" s="3"/>
      <c r="M919" s="3"/>
      <c r="N919" s="3"/>
      <c r="O919" s="3"/>
      <c r="P919" s="3"/>
      <c r="Q919" s="1"/>
      <c r="R919" s="1"/>
      <c r="S919" s="1"/>
    </row>
    <row r="920" spans="5:19">
      <c r="E920" s="1"/>
      <c r="F920" s="1"/>
      <c r="G920" s="1"/>
      <c r="H920" s="1"/>
      <c r="I920" s="1"/>
      <c r="J920" s="1"/>
      <c r="K920" s="2"/>
      <c r="L920" s="3"/>
      <c r="M920" s="3"/>
      <c r="N920" s="3"/>
      <c r="O920" s="3"/>
      <c r="P920" s="3"/>
      <c r="Q920" s="1"/>
      <c r="R920" s="1"/>
      <c r="S920" s="1"/>
    </row>
    <row r="921" spans="5:19">
      <c r="E921" s="1"/>
      <c r="F921" s="1"/>
      <c r="G921" s="1"/>
      <c r="H921" s="1"/>
      <c r="I921" s="1"/>
      <c r="J921" s="1"/>
      <c r="K921" s="2"/>
      <c r="L921" s="3"/>
      <c r="M921" s="3"/>
      <c r="N921" s="3"/>
      <c r="O921" s="3"/>
      <c r="P921" s="3"/>
      <c r="Q921" s="1"/>
      <c r="R921" s="1"/>
      <c r="S921" s="1"/>
    </row>
    <row r="922" spans="5:19">
      <c r="E922" s="1"/>
      <c r="F922" s="1"/>
      <c r="G922" s="1"/>
      <c r="H922" s="1"/>
      <c r="I922" s="1"/>
      <c r="J922" s="1"/>
      <c r="K922" s="2"/>
      <c r="L922" s="3"/>
      <c r="M922" s="3"/>
      <c r="N922" s="3"/>
      <c r="O922" s="3"/>
      <c r="P922" s="3"/>
      <c r="Q922" s="1"/>
      <c r="R922" s="1"/>
      <c r="S922" s="1"/>
    </row>
    <row r="923" spans="5:19">
      <c r="E923" s="1"/>
      <c r="F923" s="1"/>
      <c r="G923" s="1"/>
      <c r="H923" s="1"/>
      <c r="I923" s="1"/>
      <c r="J923" s="1"/>
      <c r="K923" s="2"/>
      <c r="L923" s="3"/>
      <c r="M923" s="3"/>
      <c r="N923" s="3"/>
      <c r="O923" s="3"/>
      <c r="P923" s="3"/>
      <c r="Q923" s="1"/>
      <c r="R923" s="1"/>
      <c r="S923" s="1"/>
    </row>
    <row r="924" spans="5:19">
      <c r="E924" s="1"/>
      <c r="F924" s="1"/>
      <c r="G924" s="1"/>
      <c r="H924" s="1"/>
      <c r="I924" s="1"/>
      <c r="J924" s="1"/>
      <c r="K924" s="2"/>
      <c r="L924" s="3"/>
      <c r="M924" s="3"/>
      <c r="N924" s="3"/>
      <c r="O924" s="3"/>
      <c r="P924" s="3"/>
      <c r="Q924" s="1"/>
      <c r="R924" s="1"/>
      <c r="S924" s="1"/>
    </row>
    <row r="925" spans="5:19">
      <c r="E925" s="1"/>
      <c r="F925" s="1"/>
      <c r="G925" s="1"/>
      <c r="H925" s="1"/>
      <c r="I925" s="1"/>
      <c r="J925" s="1"/>
      <c r="K925" s="2"/>
      <c r="L925" s="3"/>
      <c r="M925" s="3"/>
      <c r="N925" s="3"/>
      <c r="O925" s="3"/>
      <c r="P925" s="3"/>
      <c r="Q925" s="1"/>
      <c r="R925" s="1"/>
      <c r="S925" s="1"/>
    </row>
    <row r="926" spans="5:19">
      <c r="E926" s="1"/>
      <c r="F926" s="1"/>
      <c r="G926" s="1"/>
      <c r="H926" s="1"/>
      <c r="I926" s="1"/>
      <c r="J926" s="1"/>
      <c r="K926" s="2"/>
      <c r="L926" s="3"/>
      <c r="M926" s="3"/>
      <c r="N926" s="3"/>
      <c r="O926" s="3"/>
      <c r="P926" s="3"/>
      <c r="Q926" s="1"/>
      <c r="R926" s="1"/>
      <c r="S926" s="1"/>
    </row>
    <row r="927" spans="5:19">
      <c r="E927" s="1"/>
      <c r="F927" s="1"/>
      <c r="G927" s="1"/>
      <c r="H927" s="1"/>
      <c r="I927" s="1"/>
      <c r="J927" s="1"/>
      <c r="K927" s="2"/>
      <c r="L927" s="3"/>
      <c r="M927" s="3"/>
      <c r="N927" s="3"/>
      <c r="O927" s="3"/>
      <c r="P927" s="3"/>
      <c r="Q927" s="1"/>
      <c r="R927" s="1"/>
      <c r="S927" s="1"/>
    </row>
    <row r="928" spans="5:19">
      <c r="E928" s="1"/>
      <c r="F928" s="1"/>
      <c r="G928" s="1"/>
      <c r="H928" s="1"/>
      <c r="I928" s="1"/>
      <c r="J928" s="1"/>
      <c r="K928" s="2"/>
      <c r="L928" s="3"/>
      <c r="M928" s="3"/>
      <c r="N928" s="3"/>
      <c r="O928" s="3"/>
      <c r="P928" s="3"/>
      <c r="Q928" s="1"/>
      <c r="R928" s="1"/>
      <c r="S928" s="1"/>
    </row>
    <row r="929" spans="5:19">
      <c r="E929" s="1"/>
      <c r="F929" s="1"/>
      <c r="G929" s="1"/>
      <c r="H929" s="1"/>
      <c r="I929" s="1"/>
      <c r="J929" s="1"/>
      <c r="K929" s="2"/>
      <c r="L929" s="3"/>
      <c r="M929" s="3"/>
      <c r="N929" s="3"/>
      <c r="O929" s="3"/>
      <c r="P929" s="3"/>
      <c r="Q929" s="1"/>
      <c r="R929" s="1"/>
      <c r="S929" s="1"/>
    </row>
    <row r="930" spans="5:19">
      <c r="E930" s="1"/>
      <c r="F930" s="1"/>
      <c r="G930" s="1"/>
      <c r="H930" s="1"/>
      <c r="I930" s="1"/>
      <c r="J930" s="1"/>
      <c r="K930" s="2"/>
      <c r="L930" s="3"/>
      <c r="M930" s="3"/>
      <c r="N930" s="3"/>
      <c r="O930" s="3"/>
      <c r="P930" s="3"/>
      <c r="Q930" s="1"/>
      <c r="R930" s="1"/>
      <c r="S930" s="1"/>
    </row>
    <row r="931" spans="5:19">
      <c r="E931" s="1"/>
      <c r="F931" s="1"/>
      <c r="G931" s="1"/>
      <c r="H931" s="1"/>
      <c r="I931" s="1"/>
      <c r="J931" s="1"/>
      <c r="K931" s="2"/>
      <c r="L931" s="3"/>
      <c r="M931" s="3"/>
      <c r="N931" s="3"/>
      <c r="O931" s="3"/>
      <c r="P931" s="3"/>
      <c r="Q931" s="1"/>
      <c r="R931" s="1"/>
      <c r="S931" s="1"/>
    </row>
    <row r="932" spans="5:19">
      <c r="E932" s="1"/>
      <c r="F932" s="1"/>
      <c r="G932" s="1"/>
      <c r="H932" s="1"/>
      <c r="I932" s="1"/>
      <c r="J932" s="1"/>
      <c r="K932" s="2"/>
      <c r="L932" s="3"/>
      <c r="M932" s="3"/>
      <c r="N932" s="3"/>
      <c r="O932" s="3"/>
      <c r="P932" s="3"/>
      <c r="Q932" s="1"/>
      <c r="R932" s="1"/>
      <c r="S932" s="1"/>
    </row>
    <row r="933" spans="5:19">
      <c r="E933" s="1"/>
      <c r="F933" s="1"/>
      <c r="G933" s="1"/>
      <c r="H933" s="1"/>
      <c r="I933" s="1"/>
      <c r="J933" s="1"/>
      <c r="K933" s="2"/>
      <c r="L933" s="3"/>
      <c r="M933" s="3"/>
      <c r="N933" s="3"/>
      <c r="O933" s="3"/>
      <c r="P933" s="3"/>
      <c r="Q933" s="1"/>
      <c r="R933" s="1"/>
      <c r="S933" s="1"/>
    </row>
    <row r="934" spans="5:19">
      <c r="E934" s="1"/>
      <c r="F934" s="1"/>
      <c r="G934" s="1"/>
      <c r="H934" s="1"/>
      <c r="I934" s="1"/>
      <c r="J934" s="1"/>
      <c r="K934" s="2"/>
      <c r="L934" s="3"/>
      <c r="M934" s="3"/>
      <c r="N934" s="3"/>
      <c r="O934" s="3"/>
      <c r="P934" s="3"/>
      <c r="Q934" s="1"/>
      <c r="R934" s="1"/>
      <c r="S934" s="1"/>
    </row>
    <row r="935" spans="5:19">
      <c r="E935" s="1"/>
      <c r="F935" s="1"/>
      <c r="G935" s="1"/>
      <c r="H935" s="1"/>
      <c r="I935" s="1"/>
      <c r="J935" s="1"/>
      <c r="K935" s="2"/>
      <c r="L935" s="3"/>
      <c r="M935" s="3"/>
      <c r="N935" s="3"/>
      <c r="O935" s="3"/>
      <c r="P935" s="3"/>
      <c r="Q935" s="1"/>
      <c r="R935" s="1"/>
      <c r="S935" s="1"/>
    </row>
    <row r="936" spans="5:19">
      <c r="E936" s="1"/>
      <c r="F936" s="1"/>
      <c r="G936" s="1"/>
      <c r="H936" s="1"/>
      <c r="I936" s="1"/>
      <c r="J936" s="1"/>
      <c r="K936" s="2"/>
      <c r="L936" s="3"/>
      <c r="M936" s="3"/>
      <c r="N936" s="3"/>
      <c r="O936" s="3"/>
      <c r="P936" s="3"/>
      <c r="Q936" s="1"/>
      <c r="R936" s="1"/>
      <c r="S936" s="1"/>
    </row>
    <row r="937" spans="5:19">
      <c r="E937" s="1"/>
      <c r="F937" s="1"/>
      <c r="G937" s="1"/>
      <c r="H937" s="1"/>
      <c r="I937" s="1"/>
      <c r="J937" s="1"/>
      <c r="K937" s="2"/>
      <c r="L937" s="3"/>
      <c r="M937" s="3"/>
      <c r="N937" s="3"/>
      <c r="O937" s="3"/>
      <c r="P937" s="3"/>
      <c r="Q937" s="1"/>
      <c r="R937" s="1"/>
      <c r="S937" s="1"/>
    </row>
    <row r="938" spans="5:19">
      <c r="E938" s="1"/>
      <c r="F938" s="1"/>
      <c r="G938" s="1"/>
      <c r="H938" s="1"/>
      <c r="I938" s="1"/>
      <c r="J938" s="1"/>
      <c r="K938" s="2"/>
      <c r="L938" s="3"/>
      <c r="M938" s="3"/>
      <c r="N938" s="3"/>
      <c r="O938" s="3"/>
      <c r="P938" s="3"/>
      <c r="Q938" s="1"/>
      <c r="R938" s="1"/>
      <c r="S938" s="1"/>
    </row>
    <row r="939" spans="5:19">
      <c r="E939" s="1"/>
      <c r="F939" s="1"/>
      <c r="G939" s="1"/>
      <c r="H939" s="1"/>
      <c r="I939" s="1"/>
      <c r="J939" s="1"/>
      <c r="K939" s="2"/>
      <c r="L939" s="3"/>
      <c r="M939" s="3"/>
      <c r="N939" s="3"/>
      <c r="O939" s="3"/>
      <c r="P939" s="3"/>
      <c r="Q939" s="1"/>
      <c r="R939" s="1"/>
      <c r="S939" s="1"/>
    </row>
    <row r="940" spans="5:19">
      <c r="E940" s="1"/>
      <c r="F940" s="1"/>
      <c r="G940" s="1"/>
      <c r="H940" s="1"/>
      <c r="I940" s="1"/>
      <c r="J940" s="1"/>
      <c r="K940" s="2"/>
      <c r="L940" s="3"/>
      <c r="M940" s="3"/>
      <c r="N940" s="3"/>
      <c r="O940" s="3"/>
      <c r="P940" s="3"/>
      <c r="Q940" s="1"/>
      <c r="R940" s="1"/>
      <c r="S940" s="1"/>
    </row>
    <row r="941" spans="5:19">
      <c r="E941" s="1"/>
      <c r="F941" s="1"/>
      <c r="G941" s="1"/>
      <c r="H941" s="1"/>
      <c r="I941" s="1"/>
      <c r="J941" s="1"/>
      <c r="K941" s="2"/>
      <c r="L941" s="3"/>
      <c r="M941" s="3"/>
      <c r="N941" s="3"/>
      <c r="O941" s="3"/>
      <c r="P941" s="3"/>
      <c r="Q941" s="1"/>
      <c r="R941" s="1"/>
      <c r="S941" s="1"/>
    </row>
    <row r="942" spans="5:19">
      <c r="E942" s="1"/>
      <c r="F942" s="1"/>
      <c r="G942" s="1"/>
      <c r="H942" s="1"/>
      <c r="I942" s="1"/>
      <c r="J942" s="1"/>
      <c r="K942" s="2"/>
      <c r="L942" s="3"/>
      <c r="M942" s="3"/>
      <c r="N942" s="3"/>
      <c r="O942" s="3"/>
      <c r="P942" s="3"/>
      <c r="Q942" s="1"/>
      <c r="R942" s="1"/>
      <c r="S942" s="1"/>
    </row>
    <row r="943" spans="5:19">
      <c r="E943" s="1"/>
      <c r="F943" s="1"/>
      <c r="G943" s="1"/>
      <c r="H943" s="1"/>
      <c r="I943" s="1"/>
      <c r="J943" s="1"/>
      <c r="K943" s="2"/>
      <c r="L943" s="3"/>
      <c r="M943" s="3"/>
      <c r="N943" s="3"/>
      <c r="O943" s="3"/>
      <c r="P943" s="3"/>
      <c r="Q943" s="1"/>
      <c r="R943" s="1"/>
      <c r="S943" s="1"/>
    </row>
    <row r="944" spans="5:19">
      <c r="E944" s="1"/>
      <c r="F944" s="1"/>
      <c r="G944" s="1"/>
      <c r="H944" s="1"/>
      <c r="I944" s="1"/>
      <c r="J944" s="1"/>
      <c r="K944" s="2"/>
      <c r="L944" s="3"/>
      <c r="M944" s="3"/>
      <c r="N944" s="3"/>
      <c r="O944" s="3"/>
      <c r="P944" s="3"/>
      <c r="Q944" s="1"/>
      <c r="R944" s="1"/>
      <c r="S944" s="1"/>
    </row>
    <row r="945" spans="5:19">
      <c r="E945" s="1"/>
      <c r="F945" s="1"/>
      <c r="G945" s="1"/>
      <c r="H945" s="1"/>
      <c r="I945" s="1"/>
      <c r="J945" s="1"/>
      <c r="K945" s="2"/>
      <c r="L945" s="3"/>
      <c r="M945" s="3"/>
      <c r="N945" s="3"/>
      <c r="O945" s="3"/>
      <c r="P945" s="3"/>
      <c r="Q945" s="1"/>
      <c r="R945" s="1"/>
      <c r="S945" s="1"/>
    </row>
    <row r="946" spans="5:19">
      <c r="E946" s="1"/>
      <c r="F946" s="1"/>
      <c r="G946" s="1"/>
      <c r="H946" s="1"/>
      <c r="I946" s="1"/>
      <c r="J946" s="1"/>
      <c r="K946" s="2"/>
      <c r="L946" s="3"/>
      <c r="M946" s="3"/>
      <c r="N946" s="3"/>
      <c r="O946" s="3"/>
      <c r="P946" s="3"/>
      <c r="Q946" s="1"/>
      <c r="R946" s="1"/>
      <c r="S946" s="1"/>
    </row>
    <row r="947" spans="5:19">
      <c r="E947" s="1"/>
      <c r="F947" s="1"/>
      <c r="G947" s="1"/>
      <c r="H947" s="1"/>
      <c r="I947" s="1"/>
      <c r="J947" s="1"/>
      <c r="K947" s="2"/>
      <c r="L947" s="3"/>
      <c r="M947" s="3"/>
      <c r="N947" s="3"/>
      <c r="O947" s="3"/>
      <c r="P947" s="3"/>
      <c r="Q947" s="1"/>
      <c r="R947" s="1"/>
      <c r="S947" s="1"/>
    </row>
    <row r="948" spans="5:19">
      <c r="E948" s="1"/>
      <c r="F948" s="1"/>
      <c r="G948" s="1"/>
      <c r="H948" s="1"/>
      <c r="I948" s="1"/>
      <c r="J948" s="1"/>
      <c r="K948" s="2"/>
      <c r="L948" s="3"/>
      <c r="M948" s="3"/>
      <c r="N948" s="3"/>
      <c r="O948" s="3"/>
      <c r="P948" s="3"/>
      <c r="Q948" s="1"/>
      <c r="R948" s="1"/>
      <c r="S948" s="1"/>
    </row>
    <row r="949" spans="5:19">
      <c r="E949" s="1"/>
      <c r="F949" s="1"/>
      <c r="G949" s="1"/>
      <c r="H949" s="1"/>
      <c r="I949" s="1"/>
      <c r="J949" s="1"/>
      <c r="K949" s="2"/>
      <c r="L949" s="3"/>
      <c r="M949" s="3"/>
      <c r="N949" s="3"/>
      <c r="O949" s="3"/>
      <c r="P949" s="3"/>
      <c r="Q949" s="1"/>
      <c r="R949" s="1"/>
      <c r="S949" s="1"/>
    </row>
    <row r="950" spans="5:19">
      <c r="E950" s="1"/>
      <c r="F950" s="1"/>
      <c r="G950" s="1"/>
      <c r="H950" s="1"/>
      <c r="I950" s="1"/>
      <c r="J950" s="1"/>
      <c r="K950" s="2"/>
      <c r="L950" s="3"/>
      <c r="M950" s="3"/>
      <c r="N950" s="3"/>
      <c r="O950" s="3"/>
      <c r="P950" s="3"/>
      <c r="Q950" s="1"/>
      <c r="R950" s="1"/>
      <c r="S950" s="1"/>
    </row>
    <row r="951" spans="5:19">
      <c r="E951" s="1"/>
      <c r="F951" s="1"/>
      <c r="G951" s="1"/>
      <c r="H951" s="1"/>
      <c r="I951" s="1"/>
      <c r="J951" s="1"/>
      <c r="K951" s="2"/>
      <c r="L951" s="3"/>
      <c r="M951" s="3"/>
      <c r="N951" s="3"/>
      <c r="O951" s="3"/>
      <c r="P951" s="3"/>
      <c r="Q951" s="1"/>
      <c r="R951" s="1"/>
      <c r="S951" s="1"/>
    </row>
    <row r="952" spans="5:19">
      <c r="E952" s="1"/>
      <c r="F952" s="1"/>
      <c r="G952" s="1"/>
      <c r="H952" s="1"/>
      <c r="I952" s="1"/>
      <c r="J952" s="1"/>
      <c r="K952" s="2"/>
      <c r="L952" s="3"/>
      <c r="M952" s="3"/>
      <c r="N952" s="3"/>
      <c r="O952" s="3"/>
      <c r="P952" s="3"/>
      <c r="Q952" s="1"/>
      <c r="R952" s="1"/>
      <c r="S952" s="1"/>
    </row>
    <row r="953" spans="5:19">
      <c r="E953" s="1"/>
      <c r="F953" s="1"/>
      <c r="G953" s="1"/>
      <c r="H953" s="1"/>
      <c r="I953" s="1"/>
      <c r="J953" s="1"/>
      <c r="K953" s="2"/>
      <c r="L953" s="3"/>
      <c r="M953" s="3"/>
      <c r="N953" s="3"/>
      <c r="O953" s="3"/>
      <c r="P953" s="3"/>
      <c r="Q953" s="1"/>
      <c r="R953" s="1"/>
      <c r="S953" s="1"/>
    </row>
    <row r="954" spans="5:19">
      <c r="E954" s="1"/>
      <c r="F954" s="1"/>
      <c r="G954" s="1"/>
      <c r="H954" s="1"/>
      <c r="I954" s="1"/>
      <c r="J954" s="1"/>
      <c r="K954" s="2"/>
      <c r="L954" s="3"/>
      <c r="M954" s="3"/>
      <c r="N954" s="3"/>
      <c r="O954" s="3"/>
      <c r="P954" s="3"/>
      <c r="Q954" s="1"/>
      <c r="R954" s="1"/>
      <c r="S954" s="1"/>
    </row>
    <row r="955" spans="5:19">
      <c r="E955" s="1"/>
      <c r="F955" s="1"/>
      <c r="G955" s="1"/>
      <c r="H955" s="1"/>
      <c r="I955" s="1"/>
      <c r="J955" s="1"/>
      <c r="K955" s="2"/>
      <c r="L955" s="3"/>
      <c r="M955" s="3"/>
      <c r="N955" s="3"/>
      <c r="O955" s="3"/>
      <c r="P955" s="3"/>
      <c r="Q955" s="1"/>
      <c r="R955" s="1"/>
      <c r="S955" s="1"/>
    </row>
    <row r="956" spans="5:19">
      <c r="E956" s="1"/>
      <c r="F956" s="1"/>
      <c r="G956" s="1"/>
      <c r="H956" s="1"/>
      <c r="I956" s="1"/>
      <c r="J956" s="1"/>
      <c r="K956" s="2"/>
      <c r="L956" s="3"/>
      <c r="M956" s="3"/>
      <c r="N956" s="3"/>
      <c r="O956" s="3"/>
      <c r="P956" s="3"/>
      <c r="Q956" s="1"/>
      <c r="R956" s="1"/>
      <c r="S956" s="1"/>
    </row>
    <row r="957" spans="5:19">
      <c r="E957" s="1"/>
      <c r="F957" s="1"/>
      <c r="G957" s="1"/>
      <c r="H957" s="1"/>
      <c r="I957" s="1"/>
      <c r="J957" s="1"/>
      <c r="K957" s="2"/>
      <c r="L957" s="3"/>
      <c r="M957" s="3"/>
      <c r="N957" s="3"/>
      <c r="O957" s="3"/>
      <c r="P957" s="3"/>
      <c r="Q957" s="1"/>
      <c r="R957" s="1"/>
      <c r="S957" s="1"/>
    </row>
    <row r="958" spans="5:19">
      <c r="E958" s="1"/>
      <c r="F958" s="1"/>
      <c r="G958" s="1"/>
      <c r="H958" s="1"/>
      <c r="I958" s="1"/>
      <c r="J958" s="1"/>
      <c r="K958" s="2"/>
      <c r="L958" s="3"/>
      <c r="M958" s="3"/>
      <c r="N958" s="3"/>
      <c r="O958" s="3"/>
      <c r="P958" s="3"/>
      <c r="Q958" s="1"/>
      <c r="R958" s="1"/>
      <c r="S958" s="1"/>
    </row>
    <row r="959" spans="5:19">
      <c r="E959" s="1"/>
      <c r="F959" s="1"/>
      <c r="G959" s="1"/>
      <c r="H959" s="1"/>
      <c r="I959" s="1"/>
      <c r="J959" s="1"/>
      <c r="K959" s="2"/>
      <c r="L959" s="3"/>
      <c r="M959" s="3"/>
      <c r="N959" s="3"/>
      <c r="O959" s="3"/>
      <c r="P959" s="3"/>
      <c r="Q959" s="1"/>
      <c r="R959" s="1"/>
      <c r="S959" s="1"/>
    </row>
    <row r="960" spans="5:19">
      <c r="E960" s="1"/>
      <c r="F960" s="1"/>
      <c r="G960" s="1"/>
      <c r="H960" s="1"/>
      <c r="I960" s="1"/>
      <c r="J960" s="1"/>
      <c r="K960" s="2"/>
      <c r="L960" s="3"/>
      <c r="M960" s="3"/>
      <c r="N960" s="3"/>
      <c r="O960" s="3"/>
      <c r="P960" s="3"/>
      <c r="Q960" s="1"/>
      <c r="R960" s="1"/>
      <c r="S960" s="1"/>
    </row>
    <row r="961" spans="5:19">
      <c r="E961" s="1"/>
      <c r="F961" s="1"/>
      <c r="G961" s="1"/>
      <c r="H961" s="1"/>
      <c r="I961" s="1"/>
      <c r="J961" s="1"/>
      <c r="K961" s="2"/>
      <c r="L961" s="3"/>
      <c r="M961" s="3"/>
      <c r="N961" s="3"/>
      <c r="O961" s="3"/>
      <c r="P961" s="3"/>
      <c r="Q961" s="1"/>
      <c r="R961" s="1"/>
      <c r="S961" s="1"/>
    </row>
    <row r="962" spans="5:19">
      <c r="E962" s="1"/>
      <c r="F962" s="1"/>
      <c r="G962" s="1"/>
      <c r="H962" s="1"/>
      <c r="I962" s="1"/>
      <c r="J962" s="1"/>
      <c r="K962" s="2"/>
      <c r="L962" s="3"/>
      <c r="M962" s="3"/>
      <c r="N962" s="3"/>
      <c r="O962" s="3"/>
      <c r="P962" s="3"/>
      <c r="Q962" s="1"/>
      <c r="R962" s="1"/>
      <c r="S962" s="1"/>
    </row>
    <row r="963" spans="5:19">
      <c r="E963" s="1"/>
      <c r="F963" s="1"/>
      <c r="G963" s="1"/>
      <c r="H963" s="1"/>
      <c r="I963" s="1"/>
      <c r="J963" s="1"/>
      <c r="K963" s="2"/>
      <c r="L963" s="3"/>
      <c r="M963" s="3"/>
      <c r="N963" s="3"/>
      <c r="O963" s="3"/>
      <c r="P963" s="3"/>
      <c r="Q963" s="1"/>
      <c r="R963" s="1"/>
      <c r="S963" s="1"/>
    </row>
    <row r="964" spans="5:19">
      <c r="E964" s="1"/>
      <c r="F964" s="1"/>
      <c r="G964" s="1"/>
      <c r="H964" s="1"/>
      <c r="I964" s="1"/>
      <c r="J964" s="1"/>
      <c r="K964" s="2"/>
      <c r="L964" s="3"/>
      <c r="M964" s="3"/>
      <c r="N964" s="3"/>
      <c r="O964" s="3"/>
      <c r="P964" s="3"/>
      <c r="Q964" s="1"/>
      <c r="R964" s="1"/>
      <c r="S964" s="1"/>
    </row>
    <row r="965" spans="5:19">
      <c r="E965" s="1"/>
      <c r="F965" s="1"/>
      <c r="G965" s="1"/>
      <c r="H965" s="1"/>
      <c r="I965" s="1"/>
      <c r="J965" s="1"/>
      <c r="K965" s="2"/>
      <c r="L965" s="3"/>
      <c r="M965" s="3"/>
      <c r="N965" s="3"/>
      <c r="O965" s="3"/>
      <c r="P965" s="3"/>
      <c r="Q965" s="1"/>
      <c r="R965" s="1"/>
      <c r="S965" s="1"/>
    </row>
    <row r="966" spans="5:19">
      <c r="E966" s="1"/>
      <c r="F966" s="1"/>
      <c r="G966" s="1"/>
      <c r="H966" s="1"/>
      <c r="I966" s="1"/>
      <c r="J966" s="1"/>
      <c r="K966" s="2"/>
      <c r="L966" s="3"/>
      <c r="M966" s="3"/>
      <c r="N966" s="3"/>
      <c r="O966" s="3"/>
      <c r="P966" s="3"/>
      <c r="Q966" s="1"/>
      <c r="R966" s="1"/>
      <c r="S966" s="1"/>
    </row>
    <row r="967" spans="5:19">
      <c r="E967" s="1"/>
      <c r="F967" s="1"/>
      <c r="G967" s="1"/>
      <c r="H967" s="1"/>
      <c r="I967" s="1"/>
      <c r="J967" s="1"/>
      <c r="K967" s="2"/>
      <c r="L967" s="3"/>
      <c r="M967" s="3"/>
      <c r="N967" s="3"/>
      <c r="O967" s="3"/>
      <c r="P967" s="3"/>
      <c r="Q967" s="1"/>
      <c r="R967" s="1"/>
      <c r="S967" s="1"/>
    </row>
    <row r="968" spans="5:19">
      <c r="E968" s="1"/>
      <c r="F968" s="1"/>
      <c r="G968" s="1"/>
      <c r="H968" s="1"/>
      <c r="I968" s="1"/>
      <c r="J968" s="1"/>
      <c r="K968" s="2"/>
      <c r="L968" s="3"/>
      <c r="M968" s="3"/>
      <c r="N968" s="3"/>
      <c r="O968" s="3"/>
      <c r="P968" s="3"/>
      <c r="Q968" s="1"/>
      <c r="R968" s="1"/>
      <c r="S968" s="1"/>
    </row>
    <row r="969" spans="5:19">
      <c r="E969" s="1"/>
      <c r="F969" s="1"/>
      <c r="G969" s="1"/>
      <c r="H969" s="1"/>
      <c r="I969" s="1"/>
      <c r="J969" s="1"/>
      <c r="K969" s="2"/>
      <c r="L969" s="3"/>
      <c r="M969" s="3"/>
      <c r="N969" s="3"/>
      <c r="O969" s="3"/>
      <c r="P969" s="3"/>
      <c r="Q969" s="1"/>
      <c r="R969" s="1"/>
      <c r="S969" s="1"/>
    </row>
    <row r="970" spans="5:19">
      <c r="E970" s="1"/>
      <c r="F970" s="1"/>
      <c r="G970" s="1"/>
      <c r="H970" s="1"/>
      <c r="I970" s="1"/>
      <c r="J970" s="1"/>
      <c r="K970" s="2"/>
      <c r="L970" s="3"/>
      <c r="M970" s="3"/>
      <c r="N970" s="3"/>
      <c r="O970" s="3"/>
      <c r="P970" s="3"/>
      <c r="Q970" s="1"/>
      <c r="R970" s="1"/>
      <c r="S970" s="1"/>
    </row>
    <row r="971" spans="5:19">
      <c r="E971" s="1"/>
      <c r="F971" s="1"/>
      <c r="G971" s="1"/>
      <c r="H971" s="1"/>
      <c r="I971" s="1"/>
      <c r="J971" s="1"/>
      <c r="K971" s="2"/>
      <c r="L971" s="3"/>
      <c r="M971" s="3"/>
      <c r="N971" s="3"/>
      <c r="O971" s="3"/>
      <c r="P971" s="3"/>
      <c r="Q971" s="1"/>
      <c r="R971" s="1"/>
      <c r="S971" s="1"/>
    </row>
    <row r="972" spans="5:19">
      <c r="E972" s="1"/>
      <c r="F972" s="1"/>
      <c r="G972" s="1"/>
      <c r="H972" s="1"/>
      <c r="I972" s="1"/>
      <c r="J972" s="1"/>
      <c r="K972" s="2"/>
      <c r="L972" s="3"/>
      <c r="M972" s="3"/>
      <c r="N972" s="3"/>
      <c r="O972" s="3"/>
      <c r="P972" s="3"/>
      <c r="Q972" s="1"/>
      <c r="R972" s="1"/>
      <c r="S972" s="1"/>
    </row>
    <row r="973" spans="5:19">
      <c r="E973" s="1"/>
      <c r="F973" s="1"/>
      <c r="G973" s="1"/>
      <c r="H973" s="1"/>
      <c r="I973" s="1"/>
      <c r="J973" s="1"/>
      <c r="K973" s="2"/>
      <c r="L973" s="3"/>
      <c r="M973" s="3"/>
      <c r="N973" s="3"/>
      <c r="O973" s="3"/>
      <c r="P973" s="3"/>
      <c r="Q973" s="1"/>
      <c r="R973" s="1"/>
      <c r="S973" s="1"/>
    </row>
    <row r="974" spans="5:19">
      <c r="E974" s="1"/>
      <c r="F974" s="1"/>
      <c r="G974" s="1"/>
      <c r="H974" s="1"/>
      <c r="I974" s="1"/>
      <c r="J974" s="1"/>
      <c r="K974" s="2"/>
      <c r="L974" s="3"/>
      <c r="M974" s="3"/>
      <c r="N974" s="3"/>
      <c r="O974" s="3"/>
      <c r="P974" s="3"/>
      <c r="Q974" s="1"/>
      <c r="R974" s="1"/>
      <c r="S974" s="1"/>
    </row>
    <row r="975" spans="5:19">
      <c r="E975" s="1"/>
      <c r="F975" s="1"/>
      <c r="G975" s="1"/>
      <c r="H975" s="1"/>
      <c r="I975" s="1"/>
      <c r="J975" s="1"/>
      <c r="K975" s="2"/>
      <c r="L975" s="3"/>
      <c r="M975" s="3"/>
      <c r="N975" s="3"/>
      <c r="O975" s="3"/>
      <c r="P975" s="3"/>
      <c r="Q975" s="1"/>
      <c r="R975" s="1"/>
      <c r="S975" s="1"/>
    </row>
    <row r="976" spans="5:19">
      <c r="E976" s="1"/>
      <c r="F976" s="1"/>
      <c r="G976" s="1"/>
      <c r="H976" s="1"/>
      <c r="I976" s="1"/>
      <c r="J976" s="1"/>
      <c r="K976" s="2"/>
      <c r="L976" s="3"/>
      <c r="M976" s="3"/>
      <c r="N976" s="3"/>
      <c r="O976" s="3"/>
      <c r="P976" s="3"/>
      <c r="Q976" s="1"/>
      <c r="R976" s="1"/>
      <c r="S976" s="1"/>
    </row>
    <row r="977" spans="5:19">
      <c r="E977" s="1"/>
      <c r="F977" s="1"/>
      <c r="G977" s="1"/>
      <c r="H977" s="1"/>
      <c r="I977" s="1"/>
      <c r="J977" s="1"/>
      <c r="K977" s="2"/>
      <c r="L977" s="3"/>
      <c r="M977" s="3"/>
      <c r="N977" s="3"/>
      <c r="O977" s="3"/>
      <c r="P977" s="3"/>
      <c r="Q977" s="1"/>
      <c r="R977" s="1"/>
      <c r="S977" s="1"/>
    </row>
    <row r="978" spans="5:19">
      <c r="E978" s="1"/>
      <c r="F978" s="1"/>
      <c r="G978" s="1"/>
      <c r="H978" s="1"/>
      <c r="I978" s="1"/>
      <c r="J978" s="1"/>
      <c r="K978" s="2"/>
      <c r="L978" s="3"/>
      <c r="M978" s="3"/>
      <c r="N978" s="3"/>
      <c r="O978" s="3"/>
      <c r="P978" s="3"/>
      <c r="Q978" s="1"/>
      <c r="R978" s="1"/>
      <c r="S978" s="1"/>
    </row>
    <row r="979" spans="5:19">
      <c r="E979" s="1"/>
      <c r="F979" s="1"/>
      <c r="G979" s="1"/>
      <c r="H979" s="1"/>
      <c r="I979" s="1"/>
      <c r="J979" s="1"/>
      <c r="K979" s="2"/>
      <c r="L979" s="3"/>
      <c r="M979" s="3"/>
      <c r="N979" s="3"/>
      <c r="O979" s="3"/>
      <c r="P979" s="3"/>
      <c r="Q979" s="1"/>
      <c r="R979" s="1"/>
      <c r="S979" s="1"/>
    </row>
    <row r="980" spans="5:19">
      <c r="E980" s="1"/>
      <c r="F980" s="1"/>
      <c r="G980" s="1"/>
      <c r="H980" s="1"/>
      <c r="I980" s="1"/>
      <c r="J980" s="1"/>
      <c r="K980" s="2"/>
      <c r="L980" s="3"/>
      <c r="M980" s="3"/>
      <c r="N980" s="3"/>
      <c r="O980" s="3"/>
      <c r="P980" s="3"/>
      <c r="Q980" s="1"/>
      <c r="R980" s="1"/>
      <c r="S980" s="1"/>
    </row>
    <row r="981" spans="5:19">
      <c r="E981" s="1"/>
      <c r="F981" s="1"/>
      <c r="G981" s="1"/>
      <c r="H981" s="1"/>
      <c r="I981" s="1"/>
      <c r="J981" s="1"/>
      <c r="K981" s="2"/>
      <c r="L981" s="3"/>
      <c r="M981" s="3"/>
      <c r="N981" s="3"/>
      <c r="O981" s="3"/>
      <c r="P981" s="3"/>
      <c r="Q981" s="1"/>
      <c r="R981" s="1"/>
      <c r="S981" s="1"/>
    </row>
    <row r="982" spans="5:19">
      <c r="E982" s="1"/>
      <c r="F982" s="1"/>
      <c r="G982" s="1"/>
      <c r="H982" s="1"/>
      <c r="I982" s="1"/>
      <c r="J982" s="1"/>
      <c r="K982" s="2"/>
      <c r="L982" s="3"/>
      <c r="M982" s="3"/>
      <c r="N982" s="3"/>
      <c r="O982" s="3"/>
      <c r="P982" s="3"/>
      <c r="Q982" s="1"/>
      <c r="R982" s="1"/>
      <c r="S982" s="1"/>
    </row>
    <row r="983" spans="5:19">
      <c r="E983" s="1"/>
      <c r="F983" s="1"/>
      <c r="G983" s="1"/>
      <c r="H983" s="1"/>
      <c r="I983" s="1"/>
      <c r="J983" s="1"/>
      <c r="K983" s="2"/>
      <c r="L983" s="3"/>
      <c r="M983" s="3"/>
      <c r="N983" s="3"/>
      <c r="O983" s="3"/>
      <c r="P983" s="3"/>
      <c r="Q983" s="1"/>
      <c r="R983" s="1"/>
      <c r="S983" s="1"/>
    </row>
    <row r="984" spans="5:19">
      <c r="E984" s="1"/>
      <c r="F984" s="1"/>
      <c r="G984" s="1"/>
      <c r="H984" s="1"/>
      <c r="I984" s="1"/>
      <c r="J984" s="1"/>
      <c r="K984" s="2"/>
      <c r="L984" s="3"/>
      <c r="M984" s="3"/>
      <c r="N984" s="3"/>
      <c r="O984" s="3"/>
      <c r="P984" s="3"/>
      <c r="Q984" s="1"/>
      <c r="R984" s="1"/>
      <c r="S984" s="1"/>
    </row>
    <row r="985" spans="5:19">
      <c r="E985" s="1"/>
      <c r="F985" s="1"/>
      <c r="G985" s="1"/>
      <c r="H985" s="1"/>
      <c r="I985" s="1"/>
      <c r="J985" s="1"/>
      <c r="K985" s="2"/>
      <c r="L985" s="3"/>
      <c r="M985" s="3"/>
      <c r="N985" s="3"/>
      <c r="O985" s="3"/>
      <c r="P985" s="3"/>
      <c r="Q985" s="1"/>
      <c r="R985" s="1"/>
      <c r="S985" s="1"/>
    </row>
    <row r="986" spans="5:19">
      <c r="E986" s="1"/>
      <c r="F986" s="1"/>
      <c r="G986" s="1"/>
      <c r="H986" s="1"/>
      <c r="I986" s="1"/>
      <c r="J986" s="1"/>
      <c r="K986" s="2"/>
      <c r="L986" s="3"/>
      <c r="M986" s="3"/>
      <c r="N986" s="3"/>
      <c r="O986" s="3"/>
      <c r="P986" s="3"/>
      <c r="Q986" s="1"/>
      <c r="R986" s="1"/>
      <c r="S986" s="1"/>
    </row>
    <row r="987" spans="5:19">
      <c r="E987" s="1"/>
      <c r="F987" s="1"/>
      <c r="G987" s="1"/>
      <c r="H987" s="1"/>
      <c r="I987" s="1"/>
      <c r="J987" s="1"/>
      <c r="K987" s="2"/>
      <c r="L987" s="3"/>
      <c r="M987" s="3"/>
      <c r="N987" s="3"/>
      <c r="O987" s="3"/>
      <c r="P987" s="3"/>
      <c r="Q987" s="1"/>
      <c r="R987" s="1"/>
      <c r="S987" s="1"/>
    </row>
  </sheetData>
  <dataValidations count="5">
    <dataValidation type="list" allowBlank="1" showErrorMessage="1" sqref="AB206:AB346" xr:uid="{97AEAACA-14FF-45FD-A05D-27246B30D651}">
      <formula1>"Semester 1,Semester 4,Semester 3,Semester 5,Semester 2"</formula1>
    </dataValidation>
    <dataValidation type="list" allowBlank="1" showErrorMessage="1" sqref="Z206:Z346" xr:uid="{EC0A04C1-1954-4F1F-8355-75DD97DB0B01}">
      <formula1>"Reguler,Beasiswa 50%,Beasiswa 80%,Beasiswa 100%,Beasiswa 20%,Beasiswa 25%,Beasiswa 70%"</formula1>
    </dataValidation>
    <dataValidation type="list" allowBlank="1" showErrorMessage="1" sqref="Y206:Y346" xr:uid="{88175F8B-C719-41A2-8B04-B20929C2B538}">
      <formula1>"Peserta Didik Baru,Pindahan"</formula1>
    </dataValidation>
    <dataValidation type="list" allowBlank="1" showErrorMessage="1" sqref="J206:J321" xr:uid="{A33068AE-CC12-4AEF-B92C-6530015035B1}">
      <formula1>"Islam,Katholik,Kristen,Hindu,Budha,Khatolik,Buddha"</formula1>
    </dataValidation>
    <dataValidation type="list" allowBlank="1" showErrorMessage="1" sqref="F206:F346" xr:uid="{CA8B8F13-CE16-43AC-BB5C-D77388B139BC}">
      <formula1>"L,P"</formula1>
    </dataValidation>
  </dataValidations>
  <hyperlinks>
    <hyperlink ref="D62" r:id="rId1" xr:uid="{A78C5AF7-D138-4178-8397-749D369CAC56}"/>
    <hyperlink ref="D217" r:id="rId2" xr:uid="{D97EE9B2-14B1-4178-A05A-AD5D091DCF07}"/>
    <hyperlink ref="D226" r:id="rId3" xr:uid="{C5459E25-26CF-409F-B5C5-5D0369CD6385}"/>
    <hyperlink ref="D240" r:id="rId4" xr:uid="{7440007C-8D4F-4A90-A400-C149AE68538B}"/>
    <hyperlink ref="D254" r:id="rId5" xr:uid="{30F81B73-46EB-4895-A370-8620763E6F8F}"/>
    <hyperlink ref="D258" r:id="rId6" xr:uid="{E9D6A827-6D44-4A50-BDE4-556078135C9C}"/>
    <hyperlink ref="D284" r:id="rId7" xr:uid="{8E51B211-E876-4D8A-8E2E-41DA6FF4BF33}"/>
    <hyperlink ref="D302" r:id="rId8" xr:uid="{154EDAED-CAED-4C94-8F61-DD8A303402F3}"/>
    <hyperlink ref="D303" r:id="rId9" xr:uid="{3DD1371C-8996-45B9-9FB2-15491D5EF46C}"/>
    <hyperlink ref="D310" r:id="rId10" xr:uid="{F342D4B7-0624-4BA9-B4C9-F1C7A3DABAC9}"/>
    <hyperlink ref="D314" r:id="rId11" xr:uid="{71D36F25-2967-481A-A6FE-533D251A0177}"/>
  </hyperlinks>
  <pageMargins left="0.7" right="0.7" top="0.75" bottom="0.75" header="0.3" footer="0.3"/>
  <legacyDrawing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OLAHAN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Gregorius Joel</dc:creator>
  <cp:lastModifiedBy>HP</cp:lastModifiedBy>
  <dcterms:created xsi:type="dcterms:W3CDTF">2025-12-23T07:31:29Z</dcterms:created>
  <dcterms:modified xsi:type="dcterms:W3CDTF">2025-12-23T09:11:52Z</dcterms:modified>
</cp:coreProperties>
</file>